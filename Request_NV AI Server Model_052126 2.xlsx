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drawings/drawing4.xml" ContentType="application/vnd.openxmlformats-officedocument.drawingml.chartshapes+xml"/>
  <Override PartName="/xl/charts/chart7.xml" ContentType="application/vnd.openxmlformats-officedocument.drawingml.chart+xml"/>
  <Override PartName="/xl/theme/themeOverride7.xml" ContentType="application/vnd.openxmlformats-officedocument.themeOverride+xml"/>
  <Override PartName="/xl/charts/chart8.xml" ContentType="application/vnd.openxmlformats-officedocument.drawingml.chart+xml"/>
  <Override PartName="/xl/theme/themeOverride8.xml" ContentType="application/vnd.openxmlformats-officedocument.themeOverride+xml"/>
  <Override PartName="/xl/charts/chart9.xml" ContentType="application/vnd.openxmlformats-officedocument.drawingml.chart+xml"/>
  <Override PartName="/xl/theme/themeOverride9.xml" ContentType="application/vnd.openxmlformats-officedocument.themeOverride+xml"/>
  <Override PartName="/xl/charts/chart10.xml" ContentType="application/vnd.openxmlformats-officedocument.drawingml.chart+xml"/>
  <Override PartName="/xl/theme/themeOverride10.xml" ContentType="application/vnd.openxmlformats-officedocument.themeOverride+xml"/>
  <Override PartName="/xl/charts/chart11.xml" ContentType="application/vnd.openxmlformats-officedocument.drawingml.chart+xml"/>
  <Override PartName="/xl/theme/themeOverride11.xml" ContentType="application/vnd.openxmlformats-officedocument.themeOverride+xml"/>
  <Override PartName="/xl/charts/chart12.xml" ContentType="application/vnd.openxmlformats-officedocument.drawingml.chart+xml"/>
  <Override PartName="/xl/theme/themeOverride12.xml" ContentType="application/vnd.openxmlformats-officedocument.themeOverride+xml"/>
  <Override PartName="/xl/charts/chart13.xml" ContentType="application/vnd.openxmlformats-officedocument.drawingml.chart+xml"/>
  <Override PartName="/xl/theme/themeOverride13.xml" ContentType="application/vnd.openxmlformats-officedocument.themeOverride+xml"/>
  <Override PartName="/xl/charts/chart14.xml" ContentType="application/vnd.openxmlformats-officedocument.drawingml.chart+xml"/>
  <Override PartName="/xl/theme/themeOverride14.xml" ContentType="application/vnd.openxmlformats-officedocument.themeOverride+xml"/>
  <Override PartName="/xl/charts/chart15.xml" ContentType="application/vnd.openxmlformats-officedocument.drawingml.chart+xml"/>
  <Override PartName="/xl/theme/themeOverride15.xml" ContentType="application/vnd.openxmlformats-officedocument.themeOverride+xml"/>
  <Override PartName="/xl/drawings/drawing5.xml" ContentType="application/vnd.openxmlformats-officedocument.drawing+xml"/>
  <Override PartName="/xl/comments1.xml" ContentType="application/vnd.openxmlformats-officedocument.spreadsheetml.comments+xml"/>
  <Override PartName="/xl/charts/chart16.xml" ContentType="application/vnd.openxmlformats-officedocument.drawingml.chart+xml"/>
  <Override PartName="/xl/theme/themeOverride16.xml" ContentType="application/vnd.openxmlformats-officedocument.themeOverride+xml"/>
  <Override PartName="/xl/charts/chart17.xml" ContentType="application/vnd.openxmlformats-officedocument.drawingml.chart+xml"/>
  <Override PartName="/xl/theme/themeOverride17.xml" ContentType="application/vnd.openxmlformats-officedocument.themeOverride+xml"/>
  <Override PartName="/xl/charts/chart18.xml" ContentType="application/vnd.openxmlformats-officedocument.drawingml.chart+xml"/>
  <Override PartName="/xl/theme/themeOverride18.xml" ContentType="application/vnd.openxmlformats-officedocument.themeOverride+xml"/>
  <Override PartName="/xl/charts/chart19.xml" ContentType="application/vnd.openxmlformats-officedocument.drawingml.chart+xml"/>
  <Override PartName="/xl/theme/themeOverride19.xml" ContentType="application/vnd.openxmlformats-officedocument.themeOverride+xml"/>
  <Override PartName="/xl/charts/chart20.xml" ContentType="application/vnd.openxmlformats-officedocument.drawingml.chart+xml"/>
  <Override PartName="/xl/theme/themeOverride20.xml" ContentType="application/vnd.openxmlformats-officedocument.themeOverride+xml"/>
  <Override PartName="/xl/charts/chart21.xml" ContentType="application/vnd.openxmlformats-officedocument.drawingml.chart+xml"/>
  <Override PartName="/xl/theme/themeOverride21.xml" ContentType="application/vnd.openxmlformats-officedocument.themeOverride+xml"/>
  <Override PartName="/xl/charts/chart22.xml" ContentType="application/vnd.openxmlformats-officedocument.drawingml.chart+xml"/>
  <Override PartName="/xl/theme/themeOverride22.xml" ContentType="application/vnd.openxmlformats-officedocument.themeOverride+xml"/>
  <Override PartName="/xl/charts/chart23.xml" ContentType="application/vnd.openxmlformats-officedocument.drawingml.chart+xml"/>
  <Override PartName="/xl/theme/themeOverride23.xml" ContentType="application/vnd.openxmlformats-officedocument.themeOverride+xml"/>
  <Override PartName="/xl/charts/chart24.xml" ContentType="application/vnd.openxmlformats-officedocument.drawingml.chart+xml"/>
  <Override PartName="/xl/theme/themeOverride24.xml" ContentType="application/vnd.openxmlformats-officedocument.themeOverride+xml"/>
  <Override PartName="/xl/charts/chart25.xml" ContentType="application/vnd.openxmlformats-officedocument.drawingml.chart+xml"/>
  <Override PartName="/xl/theme/themeOverride25.xml" ContentType="application/vnd.openxmlformats-officedocument.themeOverride+xml"/>
  <Override PartName="/xl/charts/chart26.xml" ContentType="application/vnd.openxmlformats-officedocument.drawingml.chart+xml"/>
  <Override PartName="/xl/theme/themeOverride26.xml" ContentType="application/vnd.openxmlformats-officedocument.themeOverride+xml"/>
  <Override PartName="/xl/drawings/drawing6.xml" ContentType="application/vnd.openxmlformats-officedocument.drawing+xml"/>
  <Override PartName="/xl/charts/chart27.xml" ContentType="application/vnd.openxmlformats-officedocument.drawingml.chart+xml"/>
  <Override PartName="/xl/theme/themeOverride27.xml" ContentType="application/vnd.openxmlformats-officedocument.themeOverride+xml"/>
  <Override PartName="/xl/charts/chart28.xml" ContentType="application/vnd.openxmlformats-officedocument.drawingml.chart+xml"/>
  <Override PartName="/xl/theme/themeOverride28.xml" ContentType="application/vnd.openxmlformats-officedocument.themeOverrid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L:\data\Jasmine Lu\Request\"/>
    </mc:Choice>
  </mc:AlternateContent>
  <xr:revisionPtr revIDLastSave="0" documentId="13_ncr:1_{1852CB94-DA76-4DCE-9DE2-22A3E29E3ECA}" xr6:coauthVersionLast="47" xr6:coauthVersionMax="47" xr10:uidLastSave="{00000000-0000-0000-0000-000000000000}"/>
  <bookViews>
    <workbookView xWindow="-120" yWindow="-120" windowWidth="29040" windowHeight="15720" xr2:uid="{9542C945-13A2-49EB-BC20-BE8D725761C6}"/>
  </bookViews>
  <sheets>
    <sheet name="Cover" sheetId="2" r:id="rId1"/>
    <sheet name="Nvidia Rack Layout" sheetId="12" r:id="rId2"/>
    <sheet name="GPU Roadmap" sheetId="7" r:id="rId3"/>
    <sheet name="ODM share analysis" sheetId="10" r:id="rId4"/>
    <sheet name="GB200-300 Tracker" sheetId="11" r:id="rId5"/>
    <sheet name="NVL72 BoM Comparison" sheetId="16" r:id="rId6"/>
    <sheet name="VR200 BoM " sheetId="13" r:id="rId7"/>
    <sheet name="GB300 BoM" sheetId="14" r:id="rId8"/>
    <sheet name="GB200 BoM" sheetId="15" r:id="rId9"/>
  </sheets>
  <externalReferences>
    <externalReference r:id="rId10"/>
    <externalReference r:id="rId11"/>
    <externalReference r:id="rId12"/>
    <externalReference r:id="rId13"/>
    <externalReference r:id="rId14"/>
    <externalReference r:id="rId15"/>
  </externalReferences>
  <definedNames>
    <definedName name="__FDS_HYPERLINK_TOGGLE_STATE__" hidden="1">"ON"</definedName>
    <definedName name="__FDS_UNIQUE_RANGE_ID_GENERATOR_COUNTER" hidden="1">411</definedName>
    <definedName name="_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0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0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0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0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0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0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0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0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0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0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0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0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0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0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0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0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0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0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0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0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0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0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0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0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0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0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0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0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0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0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0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0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0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0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0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0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0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0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0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0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0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0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0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0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0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1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1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1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1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1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1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1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1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1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1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1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1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1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1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1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1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1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1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1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1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1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1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1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1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1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1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1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1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1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1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1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1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1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1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1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1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1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1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1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1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1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1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1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1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1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1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1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1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1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1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2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2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2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2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2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2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2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2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2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2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2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2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2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2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2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2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2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2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2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2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2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2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2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2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2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2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2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2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2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2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2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2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2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2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2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2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2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2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2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2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2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2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2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2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2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2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2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2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2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2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3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3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3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3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3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3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3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3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3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3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3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3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3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3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3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3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3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3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3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3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3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3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3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3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3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3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3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3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3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3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3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3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3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3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3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3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3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3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3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3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3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3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3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3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3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3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3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3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3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3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4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4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4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4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4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4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4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4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4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4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4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4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4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4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4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4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4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4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4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4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4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4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4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4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4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4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4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4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4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4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4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4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4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4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4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4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4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4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4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4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4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4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4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4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4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5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5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5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5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5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5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5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5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5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5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5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5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5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5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5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5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5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5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5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5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5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5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5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5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5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5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5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5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5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5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5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5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5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5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5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5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5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5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5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5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5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5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5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5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5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5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5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5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5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5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6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6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6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6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6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16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6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6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6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6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16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6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6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6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6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16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6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6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6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6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16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6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6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6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6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16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6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6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6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6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16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6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6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6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6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16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6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6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6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6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16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6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6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6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6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16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6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6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6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6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1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7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7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7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7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7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17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7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7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7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7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17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7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7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7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7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17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7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7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7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7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17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7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7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7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7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17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7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7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7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7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17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7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7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7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7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17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7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7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7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7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17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7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7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7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7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17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7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7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7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7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1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8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8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8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8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18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8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8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8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8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18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8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8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8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8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18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8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8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8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8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18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8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8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8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8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18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8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8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8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8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18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8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8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8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8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18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8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8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8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8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18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18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8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8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8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8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19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9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9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9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9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19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9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9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9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9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19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9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9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9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9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19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9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9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9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9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19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9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9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9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9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19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9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9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9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9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19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9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9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9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9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19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9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9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9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9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19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9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9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9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9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19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9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9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9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19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0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0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0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0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0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0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0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0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0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0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0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0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0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0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0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0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0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0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0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0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0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0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0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0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0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0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0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0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0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0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0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0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0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0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0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0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0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0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0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0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0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0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0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0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0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0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0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0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0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0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1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1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1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1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1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1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1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1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1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1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1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1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1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1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1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1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1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1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1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1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1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1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1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1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1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1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1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1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1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1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1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1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1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1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1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1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1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1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1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1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1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1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1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1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1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1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1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1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1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1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2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2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2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2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2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2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2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2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2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2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2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2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2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2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2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2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2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2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2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2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2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2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2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2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2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2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2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2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2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2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2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2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2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2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2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2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2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2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2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2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2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2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2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2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2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2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2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2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2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2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3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3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3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3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3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3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3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3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3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3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3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3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3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3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3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3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3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3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3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3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3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3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3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3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3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3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3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3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3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3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3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3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3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3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3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3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3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3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3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3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3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3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3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3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3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4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4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4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4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4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4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4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4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4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4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4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4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4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4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4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4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4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4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4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4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4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4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4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4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4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4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4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4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4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4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4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4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4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4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4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4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4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4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4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4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4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4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4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4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4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4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4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4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4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4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5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5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5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5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5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5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5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5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5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5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5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5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5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5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5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5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5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5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5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5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5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5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5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5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5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5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5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5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5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5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5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5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5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5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5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5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5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5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5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5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5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5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5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5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5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5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5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5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5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5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6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6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6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6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6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26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6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6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6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6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26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6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6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6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6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26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6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6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6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6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26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6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6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6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6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26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6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6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6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6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26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6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6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6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6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26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6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6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6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6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26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6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6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6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6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26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6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6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6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6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2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7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7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7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7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27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7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7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7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7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27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7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7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7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7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27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7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7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7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7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27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7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7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7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7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27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7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7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7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7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27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7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7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7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7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27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27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7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7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7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7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7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7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7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7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7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28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8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8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8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8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28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8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8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8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8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28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8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8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8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8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28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8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8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8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8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28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8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8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8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8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28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8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8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8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8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28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8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8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8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8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28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8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8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8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8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28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8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8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8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8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28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8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8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8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8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2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29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9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9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9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9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29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9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9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9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9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29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9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9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9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9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29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9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9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9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9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29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9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9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9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9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29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9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9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9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9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29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9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9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9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9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29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9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9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9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9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29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9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9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9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9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29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9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9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9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29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0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0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0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0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0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0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0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0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0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0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0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0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0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0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0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0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0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0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0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0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0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0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0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0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0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0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0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0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0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0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0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0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0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0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0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0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0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0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0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0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0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0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0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0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0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0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0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0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0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0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1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1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1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1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1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1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1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1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1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1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1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1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1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1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1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1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1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1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1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1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1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1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1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1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1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1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1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1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1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1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1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1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1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1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1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1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1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1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1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1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1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1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1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1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1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1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1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1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1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1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2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2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2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2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2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2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2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2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2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2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2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2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2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2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2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2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2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2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2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2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2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2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2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2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2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2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2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2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2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2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2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2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2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2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2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2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2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2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2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2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2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2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2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2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2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3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3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3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3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3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3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3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3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3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3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3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3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3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3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3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3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3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3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3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3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3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3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3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3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3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3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3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3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3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3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3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3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3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3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3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3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3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3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3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3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3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3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3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3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3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3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3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3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3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3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4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4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4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4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4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4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4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4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4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4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4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4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4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4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4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4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4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4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4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4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4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4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4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4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4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4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4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4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4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4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4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4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4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4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4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4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4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4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4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4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4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4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4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4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4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4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4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4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4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4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5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5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5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5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5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5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5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5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5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5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5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5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5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5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5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5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5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5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5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5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5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5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5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5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5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5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5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5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5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5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5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5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5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5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5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5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5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5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5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5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5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5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5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5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5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5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5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5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5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5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6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6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6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6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36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6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6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6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6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36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6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6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6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6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36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6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6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6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6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36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6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6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6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6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36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6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6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6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6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36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36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6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6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6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6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6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6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6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6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6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6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6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6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6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6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37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7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7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7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7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37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7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7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7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7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37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7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7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7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7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37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7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7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7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7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37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7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7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7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7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37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7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7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7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7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37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7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7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7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7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37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7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7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7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7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37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7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7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7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7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37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7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7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7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7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3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38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8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8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8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8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38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8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8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8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8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38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8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8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8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8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38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8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8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8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8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38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8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8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8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8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38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8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8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8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8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38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8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8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8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8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38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8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8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8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8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38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8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8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8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8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38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8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8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8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8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3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39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9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9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9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9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39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9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9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9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9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39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9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9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9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9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39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9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9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9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9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39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9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9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9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9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39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9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9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9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9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39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9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9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9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9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39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9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9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9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9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39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9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9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9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9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39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9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9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9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39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0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40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40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40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40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40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40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40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40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40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40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40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40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40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40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40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40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40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40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40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40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40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40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40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40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40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40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40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40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40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40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40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40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40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40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40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40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40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40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40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40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40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40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40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40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40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40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40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40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40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4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4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4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4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4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41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1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1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1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1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4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4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4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4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4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4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4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4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4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4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4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4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4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4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4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4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4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4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4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4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4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4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4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4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4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4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4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4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4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4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4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4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4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4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4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4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5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5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5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5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5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31"}</definedName>
    <definedName name="_5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5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5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5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5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30"}</definedName>
    <definedName name="_5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5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5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5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5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29"}</definedName>
    <definedName name="_5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5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5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5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5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28"}</definedName>
    <definedName name="_5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5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5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5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5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27"}</definedName>
    <definedName name="_5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5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5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5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5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26"}</definedName>
    <definedName name="_5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5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5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5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5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25"}</definedName>
    <definedName name="_5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5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5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5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5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24"}</definedName>
    <definedName name="_5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5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5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5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5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23"}</definedName>
    <definedName name="_5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5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5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5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5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22"}</definedName>
    <definedName name="_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6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6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6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6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6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21"}</definedName>
    <definedName name="_6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6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6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6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6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20"}</definedName>
    <definedName name="_6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6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6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6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6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19"}</definedName>
    <definedName name="_6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6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6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6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6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18"}</definedName>
    <definedName name="_6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6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6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6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6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17"}</definedName>
    <definedName name="_6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6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6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6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6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16"}</definedName>
    <definedName name="_6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6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6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6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6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15"}</definedName>
    <definedName name="_6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6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6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6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6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14"}</definedName>
    <definedName name="_6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6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6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6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6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13"}</definedName>
    <definedName name="_6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6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6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6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6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12"}</definedName>
    <definedName name="_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7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7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7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7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7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11"}</definedName>
    <definedName name="_7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7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7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7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7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10"}</definedName>
    <definedName name="_7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7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7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7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7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9"}</definedName>
    <definedName name="_7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7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7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7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7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8"}</definedName>
    <definedName name="_7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7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7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7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7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7"}</definedName>
    <definedName name="_7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7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7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7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7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6"}</definedName>
    <definedName name="_7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7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7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7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7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5"}</definedName>
    <definedName name="_7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7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7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7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7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definedName>
    <definedName name="_7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7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7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7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7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definedName>
    <definedName name="_7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7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7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7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7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2"}</definedName>
    <definedName name="_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80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80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80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80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80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1"}</definedName>
    <definedName name="_81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10"}</definedName>
    <definedName name="_81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10"}</definedName>
    <definedName name="_81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10"}</definedName>
    <definedName name="_81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10"}</definedName>
    <definedName name="_81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10"}</definedName>
    <definedName name="_82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9"}</definedName>
    <definedName name="_82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9"}</definedName>
    <definedName name="_82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9"}</definedName>
    <definedName name="_82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9"}</definedName>
    <definedName name="_82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9"}</definedName>
    <definedName name="_83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8"}</definedName>
    <definedName name="_83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8"}</definedName>
    <definedName name="_83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8"}</definedName>
    <definedName name="_83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8"}</definedName>
    <definedName name="_83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8"}</definedName>
    <definedName name="_84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7"}</definedName>
    <definedName name="_84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7"}</definedName>
    <definedName name="_84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7"}</definedName>
    <definedName name="_84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7"}</definedName>
    <definedName name="_84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7"}</definedName>
    <definedName name="_85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6"}</definedName>
    <definedName name="_85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6"}</definedName>
    <definedName name="_85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6"}</definedName>
    <definedName name="_85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6"}</definedName>
    <definedName name="_85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6"}</definedName>
    <definedName name="_86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5"}</definedName>
    <definedName name="_86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5"}</definedName>
    <definedName name="_86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5"}</definedName>
    <definedName name="_86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5"}</definedName>
    <definedName name="_86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5"}</definedName>
    <definedName name="_87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4"}</definedName>
    <definedName name="_87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4"}</definedName>
    <definedName name="_87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4"}</definedName>
    <definedName name="_87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4"}</definedName>
    <definedName name="_87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4"}</definedName>
    <definedName name="_88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3"}</definedName>
    <definedName name="_88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3"}</definedName>
    <definedName name="_88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3"}</definedName>
    <definedName name="_88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3"}</definedName>
    <definedName name="_88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3"}</definedName>
    <definedName name="_89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2"}</definedName>
    <definedName name="_89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2"}</definedName>
    <definedName name="_89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2"}</definedName>
    <definedName name="_89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2"}</definedName>
    <definedName name="_89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2"}</definedName>
    <definedName name="_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0__FDSAUDITLINK__" localSheetId="8"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definedName>
    <definedName name="_90__FDSAUDITLINK__" localSheetId="7"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definedName>
    <definedName name="_90__FDSAUDITLINK__" localSheetId="2"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definedName>
    <definedName name="_90__FDSAUDITLINK__" localSheetId="6"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definedName>
    <definedName name="_90__FDSAUDITLINK__" hidden="1">{"fdsup://directions/FAT Viewer?action=UPDATE&amp;creator=factset&amp;DYN_ARGS=TRUE&amp;DOC_NAME=FAT:FQL_AUDITING_CLIENT_TEMPLATE.FAT&amp;display_string=Audit&amp;VAR:KEY=STOHUHMRWR&amp;VAR:QUERY=RkZfRUJJVF9PUEVSX01HTihBTk4sLTEwQVksMCk=&amp;WINDOW=FIRST_POPUP&amp;HEIGHT=450&amp;WIDTH=450&amp;STAR","T_MAXIMIZED=FALSE&amp;VAR:CALENDAR=US&amp;VAR:SYMBOL=ACN&amp;VAR:INDEX=1"}</definedName>
    <definedName name="_91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91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91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91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91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40"}</definedName>
    <definedName name="_92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92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92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92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92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39"}</definedName>
    <definedName name="_93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93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93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93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93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38"}</definedName>
    <definedName name="_94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94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94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94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94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37"}</definedName>
    <definedName name="_95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95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95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95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95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36"}</definedName>
    <definedName name="_96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96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96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96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96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35"}</definedName>
    <definedName name="_97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97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97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97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97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34"}</definedName>
    <definedName name="_98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98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98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98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98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33"}</definedName>
    <definedName name="_99__FDSAUDITLINK__" localSheetId="8"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9__FDSAUDITLINK__" localSheetId="7"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9__FDSAUDITLINK__" localSheetId="2"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9__FDSAUDITLINK__" localSheetId="6"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99__FDSAUDITLINK__" hidden="1">{"fdsup://directions/FAT Viewer?action=UPDATE&amp;creator=factset&amp;DYN_ARGS=TRUE&amp;DOC_NAME=FAT:FQL_AUDITING_CLIENT_TEMPLATE.FAT&amp;display_string=Audit&amp;VAR:KEY=KHYLELYZEZ&amp;VAR:QUERY=RkZfRUJJVF9PUEVSX01HTihRVFIsLTEwQVksMCk=&amp;WINDOW=FIRST_POPUP&amp;HEIGHT=450&amp;WIDTH=450&amp;STAR","T_MAXIMIZED=FALSE&amp;VAR:CALENDAR=US&amp;VAR:SYMBOL=ACN&amp;VAR:INDEX=32"}</definedName>
    <definedName name="_bdm.02E29E7B1053433EA3CCCBE4E5141596.edm" localSheetId="2" hidden="1">#REF!</definedName>
    <definedName name="_bdm.02E29E7B1053433EA3CCCBE4E5141596.edm" hidden="1">#REF!</definedName>
    <definedName name="_bdm.0326CFAE2CD54168A104CB9A387C306D.edm" localSheetId="2" hidden="1">#REF!</definedName>
    <definedName name="_bdm.0326CFAE2CD54168A104CB9A387C306D.edm" hidden="1">#REF!</definedName>
    <definedName name="_bdm.050C8E1909B34D5781F745306A1AAF63.edm" localSheetId="2" hidden="1">#REF!</definedName>
    <definedName name="_bdm.050C8E1909B34D5781F745306A1AAF63.edm" hidden="1">#REF!</definedName>
    <definedName name="_bdm.07F76F435F964509A016D43E1311164A.edm" localSheetId="8" hidden="1">#REF!</definedName>
    <definedName name="_bdm.07F76F435F964509A016D43E1311164A.edm" localSheetId="7" hidden="1">#REF!</definedName>
    <definedName name="_bdm.07F76F435F964509A016D43E1311164A.edm" localSheetId="2" hidden="1">#REF!</definedName>
    <definedName name="_bdm.07F76F435F964509A016D43E1311164A.edm" localSheetId="6" hidden="1">#REF!</definedName>
    <definedName name="_bdm.07F76F435F964509A016D43E1311164A.edm" hidden="1">#REF!</definedName>
    <definedName name="_bdm.08b932a8fe7346da8ef0990cf57778f5.edm" localSheetId="2" hidden="1">#REF!</definedName>
    <definedName name="_bdm.08b932a8fe7346da8ef0990cf57778f5.edm" hidden="1">#REF!</definedName>
    <definedName name="_bdm.08C9CD1EF1114B0995E6024610EBC900.edm" localSheetId="8" hidden="1">#REF!</definedName>
    <definedName name="_bdm.08C9CD1EF1114B0995E6024610EBC900.edm" localSheetId="7" hidden="1">#REF!</definedName>
    <definedName name="_bdm.08C9CD1EF1114B0995E6024610EBC900.edm" localSheetId="2" hidden="1">#REF!</definedName>
    <definedName name="_bdm.08C9CD1EF1114B0995E6024610EBC900.edm" localSheetId="6" hidden="1">#REF!</definedName>
    <definedName name="_bdm.08C9CD1EF1114B0995E6024610EBC900.edm" hidden="1">#REF!</definedName>
    <definedName name="_bdm.0905bd9d69554bf0948c407c97cca165.edm" localSheetId="2" hidden="1">#REF!</definedName>
    <definedName name="_bdm.0905bd9d69554bf0948c407c97cca165.edm" hidden="1">#REF!</definedName>
    <definedName name="_bdm.0944412F2A1E46B0B1BB67DAE37D7AFA.edm" localSheetId="8" hidden="1">#REF!</definedName>
    <definedName name="_bdm.0944412F2A1E46B0B1BB67DAE37D7AFA.edm" localSheetId="7" hidden="1">#REF!</definedName>
    <definedName name="_bdm.0944412F2A1E46B0B1BB67DAE37D7AFA.edm" localSheetId="2" hidden="1">#REF!</definedName>
    <definedName name="_bdm.0944412F2A1E46B0B1BB67DAE37D7AFA.edm" localSheetId="6" hidden="1">#REF!</definedName>
    <definedName name="_bdm.0944412F2A1E46B0B1BB67DAE37D7AFA.edm" hidden="1">#REF!</definedName>
    <definedName name="_bdm.0C70D1C7E2DF436884C3D26C0F54CB85.edm" localSheetId="8" hidden="1">#REF!</definedName>
    <definedName name="_bdm.0C70D1C7E2DF436884C3D26C0F54CB85.edm" localSheetId="7" hidden="1">#REF!</definedName>
    <definedName name="_bdm.0C70D1C7E2DF436884C3D26C0F54CB85.edm" localSheetId="2" hidden="1">#REF!</definedName>
    <definedName name="_bdm.0C70D1C7E2DF436884C3D26C0F54CB85.edm" localSheetId="6" hidden="1">#REF!</definedName>
    <definedName name="_bdm.0C70D1C7E2DF436884C3D26C0F54CB85.edm" hidden="1">#REF!</definedName>
    <definedName name="_bdm.0CEE606E521246D088881672794AAC9A.edm" localSheetId="2" hidden="1">#REF!</definedName>
    <definedName name="_bdm.0CEE606E521246D088881672794AAC9A.edm" hidden="1">#REF!</definedName>
    <definedName name="_bdm.0E4B28896C444A3CA0DF6A09869CD53C.edm" localSheetId="2" hidden="1">#REF!</definedName>
    <definedName name="_bdm.0E4B28896C444A3CA0DF6A09869CD53C.edm" hidden="1">#REF!</definedName>
    <definedName name="_bdm.0f36bf2fba8a4c208861daf93b2e41ef.edm" localSheetId="2" hidden="1">#REF!</definedName>
    <definedName name="_bdm.0f36bf2fba8a4c208861daf93b2e41ef.edm" hidden="1">#REF!</definedName>
    <definedName name="_bdm.11EB72ACE3374B1CB252FDD683429D59.edm" localSheetId="8" hidden="1">#REF!</definedName>
    <definedName name="_bdm.11EB72ACE3374B1CB252FDD683429D59.edm" localSheetId="7" hidden="1">#REF!</definedName>
    <definedName name="_bdm.11EB72ACE3374B1CB252FDD683429D59.edm" localSheetId="2" hidden="1">#REF!</definedName>
    <definedName name="_bdm.11EB72ACE3374B1CB252FDD683429D59.edm" localSheetId="6" hidden="1">#REF!</definedName>
    <definedName name="_bdm.11EB72ACE3374B1CB252FDD683429D59.edm" hidden="1">#REF!</definedName>
    <definedName name="_bdm.126a156ee9ad4fffa2f0cc35308d65c0.edm" localSheetId="2" hidden="1">#REF!</definedName>
    <definedName name="_bdm.126a156ee9ad4fffa2f0cc35308d65c0.edm" hidden="1">#REF!</definedName>
    <definedName name="_bdm.1306D09E443348F28C0A895BF98D2587.edm" localSheetId="8" hidden="1">#REF!</definedName>
    <definedName name="_bdm.1306D09E443348F28C0A895BF98D2587.edm" localSheetId="7" hidden="1">#REF!</definedName>
    <definedName name="_bdm.1306D09E443348F28C0A895BF98D2587.edm" localSheetId="2" hidden="1">#REF!</definedName>
    <definedName name="_bdm.1306D09E443348F28C0A895BF98D2587.edm" localSheetId="6" hidden="1">#REF!</definedName>
    <definedName name="_bdm.1306D09E443348F28C0A895BF98D2587.edm" hidden="1">#REF!</definedName>
    <definedName name="_bdm.14b5362f1a90492b85a7f90ce67a2551.edm" localSheetId="2" hidden="1">#REF!</definedName>
    <definedName name="_bdm.14b5362f1a90492b85a7f90ce67a2551.edm" hidden="1">#REF!</definedName>
    <definedName name="_bdm.153C9321227E463583D34D64E3AD269F.edm" localSheetId="2" hidden="1">#REF!</definedName>
    <definedName name="_bdm.153C9321227E463583D34D64E3AD269F.edm" hidden="1">#REF!</definedName>
    <definedName name="_bdm.196B49CA001344AD97130151B4E293B0.edm" localSheetId="8" hidden="1">#REF!</definedName>
    <definedName name="_bdm.196B49CA001344AD97130151B4E293B0.edm" localSheetId="7" hidden="1">#REF!</definedName>
    <definedName name="_bdm.196B49CA001344AD97130151B4E293B0.edm" localSheetId="2" hidden="1">#REF!</definedName>
    <definedName name="_bdm.196B49CA001344AD97130151B4E293B0.edm" localSheetId="6" hidden="1">#REF!</definedName>
    <definedName name="_bdm.196B49CA001344AD97130151B4E293B0.edm" hidden="1">#REF!</definedName>
    <definedName name="_bdm.1A349F180AD942ABA5989494FFE562FF.edm" localSheetId="2" hidden="1">#REF!</definedName>
    <definedName name="_bdm.1A349F180AD942ABA5989494FFE562FF.edm" hidden="1">#REF!</definedName>
    <definedName name="_bdm.1BF1DE34918B43DB93265A45BE8F34AE.edm" localSheetId="8" hidden="1">#REF!</definedName>
    <definedName name="_bdm.1BF1DE34918B43DB93265A45BE8F34AE.edm" localSheetId="7" hidden="1">#REF!</definedName>
    <definedName name="_bdm.1BF1DE34918B43DB93265A45BE8F34AE.edm" localSheetId="2" hidden="1">#REF!</definedName>
    <definedName name="_bdm.1BF1DE34918B43DB93265A45BE8F34AE.edm" localSheetId="6" hidden="1">#REF!</definedName>
    <definedName name="_bdm.1BF1DE34918B43DB93265A45BE8F34AE.edm" hidden="1">#REF!</definedName>
    <definedName name="_bdm.1fb75683079048929edc56e80b8bae7c.edm" localSheetId="2" hidden="1">#REF!</definedName>
    <definedName name="_bdm.1fb75683079048929edc56e80b8bae7c.edm" hidden="1">#REF!</definedName>
    <definedName name="_bdm.2389C60A0F954B8292AE7337FA75E7DD.edm" localSheetId="2" hidden="1">#REF!</definedName>
    <definedName name="_bdm.2389C60A0F954B8292AE7337FA75E7DD.edm" hidden="1">#REF!</definedName>
    <definedName name="_bdm.245026C3FBCC4276ADC04CD09512A598.edm" localSheetId="2" hidden="1">#REF!</definedName>
    <definedName name="_bdm.245026C3FBCC4276ADC04CD09512A598.edm" hidden="1">#REF!</definedName>
    <definedName name="_bdm.248bde8733be451894df87a21fdac121.edm" localSheetId="2" hidden="1">#REF!</definedName>
    <definedName name="_bdm.248bde8733be451894df87a21fdac121.edm" hidden="1">#REF!</definedName>
    <definedName name="_bdm.29952FDA5EC445AAB3F7A51F484A52DD.edm" localSheetId="8" hidden="1">#REF!</definedName>
    <definedName name="_bdm.29952FDA5EC445AAB3F7A51F484A52DD.edm" localSheetId="7" hidden="1">#REF!</definedName>
    <definedName name="_bdm.29952FDA5EC445AAB3F7A51F484A52DD.edm" localSheetId="2" hidden="1">#REF!</definedName>
    <definedName name="_bdm.29952FDA5EC445AAB3F7A51F484A52DD.edm" localSheetId="6" hidden="1">#REF!</definedName>
    <definedName name="_bdm.29952FDA5EC445AAB3F7A51F484A52DD.edm" hidden="1">#REF!</definedName>
    <definedName name="_bdm.29e47ae0f8d2467f9aba747813266820.edm" localSheetId="2" hidden="1">#REF!</definedName>
    <definedName name="_bdm.29e47ae0f8d2467f9aba747813266820.edm" hidden="1">#REF!</definedName>
    <definedName name="_bdm.2B35933CBB9C48E7980E4A622A6C07A0.edm" localSheetId="2" hidden="1">#REF!</definedName>
    <definedName name="_bdm.2B35933CBB9C48E7980E4A622A6C07A0.edm" hidden="1">#REF!</definedName>
    <definedName name="_bdm.30F52AD8F8874FD5A3CA35D97B30556B.edm" localSheetId="2" hidden="1">#REF!</definedName>
    <definedName name="_bdm.30F52AD8F8874FD5A3CA35D97B30556B.edm" hidden="1">#REF!</definedName>
    <definedName name="_bdm.3336BC33A8934F738865FA285AB58823.edm" localSheetId="2" hidden="1">#REF!</definedName>
    <definedName name="_bdm.3336BC33A8934F738865FA285AB58823.edm" hidden="1">#REF!</definedName>
    <definedName name="_bdm.34CA9CB1C1D241A9B05FFCC06E76F287.edm" localSheetId="8" hidden="1">#REF!</definedName>
    <definedName name="_bdm.34CA9CB1C1D241A9B05FFCC06E76F287.edm" localSheetId="7" hidden="1">#REF!</definedName>
    <definedName name="_bdm.34CA9CB1C1D241A9B05FFCC06E76F287.edm" localSheetId="2" hidden="1">#REF!</definedName>
    <definedName name="_bdm.34CA9CB1C1D241A9B05FFCC06E76F287.edm" localSheetId="6" hidden="1">#REF!</definedName>
    <definedName name="_bdm.34CA9CB1C1D241A9B05FFCC06E76F287.edm" hidden="1">#REF!</definedName>
    <definedName name="_bdm.362428EB24E24CB4A1402C12F523632A.edm" localSheetId="2" hidden="1">#REF!</definedName>
    <definedName name="_bdm.362428EB24E24CB4A1402C12F523632A.edm" hidden="1">#REF!</definedName>
    <definedName name="_bdm.3A4A3298898E4B55A29A6B52021451BB.edm" localSheetId="2" hidden="1">#REF!</definedName>
    <definedName name="_bdm.3A4A3298898E4B55A29A6B52021451BB.edm" hidden="1">#REF!</definedName>
    <definedName name="_bdm.3A84D29B761E4CFBA4CB213B91E22BE6.edm" localSheetId="2" hidden="1">#REF!</definedName>
    <definedName name="_bdm.3A84D29B761E4CFBA4CB213B91E22BE6.edm" hidden="1">#REF!</definedName>
    <definedName name="_bdm.45E9BB358FD64AD8B06A2CB476E1F110.edm" localSheetId="2" hidden="1">#REF!</definedName>
    <definedName name="_bdm.45E9BB358FD64AD8B06A2CB476E1F110.edm" hidden="1">#REF!</definedName>
    <definedName name="_bdm.464D91CEC159453A944B34A61032B84C.edm" localSheetId="2" hidden="1">#REF!</definedName>
    <definedName name="_bdm.464D91CEC159453A944B34A61032B84C.edm" hidden="1">#REF!</definedName>
    <definedName name="_bdm.48182A085FEE45E4B4DC70E361BAFBBB.edm" localSheetId="2" hidden="1">#REF!</definedName>
    <definedName name="_bdm.48182A085FEE45E4B4DC70E361BAFBBB.edm" hidden="1">#REF!</definedName>
    <definedName name="_bdm.48dd5c4268b54cdbbaa798661e8e5c43.edm" localSheetId="2" hidden="1">#REF!</definedName>
    <definedName name="_bdm.48dd5c4268b54cdbbaa798661e8e5c43.edm" hidden="1">#REF!</definedName>
    <definedName name="_bdm.4A3BF31D812148D79B56028EA8D66DBF.edm" localSheetId="8" hidden="1">#REF!</definedName>
    <definedName name="_bdm.4A3BF31D812148D79B56028EA8D66DBF.edm" localSheetId="7" hidden="1">#REF!</definedName>
    <definedName name="_bdm.4A3BF31D812148D79B56028EA8D66DBF.edm" localSheetId="2" hidden="1">#REF!</definedName>
    <definedName name="_bdm.4A3BF31D812148D79B56028EA8D66DBF.edm" localSheetId="6" hidden="1">#REF!</definedName>
    <definedName name="_bdm.4A3BF31D812148D79B56028EA8D66DBF.edm" hidden="1">#REF!</definedName>
    <definedName name="_bdm.4AB4BD992EC84BAB88E96194BB6D0880.edm" localSheetId="2" hidden="1">#REF!</definedName>
    <definedName name="_bdm.4AB4BD992EC84BAB88E96194BB6D0880.edm" hidden="1">#REF!</definedName>
    <definedName name="_bdm.4BF9873D7170462DBB95F3E44F1D0CD7.edm" localSheetId="8" hidden="1">#REF!</definedName>
    <definedName name="_bdm.4BF9873D7170462DBB95F3E44F1D0CD7.edm" localSheetId="7" hidden="1">#REF!</definedName>
    <definedName name="_bdm.4BF9873D7170462DBB95F3E44F1D0CD7.edm" localSheetId="2" hidden="1">#REF!</definedName>
    <definedName name="_bdm.4BF9873D7170462DBB95F3E44F1D0CD7.edm" localSheetId="6" hidden="1">#REF!</definedName>
    <definedName name="_bdm.4BF9873D7170462DBB95F3E44F1D0CD7.edm" hidden="1">#REF!</definedName>
    <definedName name="_bdm.4CC4C23A9C7C4B06BA111FCEFA3C149A.edm" localSheetId="2" hidden="1">#REF!</definedName>
    <definedName name="_bdm.4CC4C23A9C7C4B06BA111FCEFA3C149A.edm" hidden="1">#REF!</definedName>
    <definedName name="_bdm.4D27FE7E93A5420CBD20B94B57562FFC.edm" localSheetId="2" hidden="1">#REF!</definedName>
    <definedName name="_bdm.4D27FE7E93A5420CBD20B94B57562FFC.edm" hidden="1">#REF!</definedName>
    <definedName name="_bdm.4D5AAE86F6204C9A951ECF3EB05F81A7.edm" localSheetId="8" hidden="1">#REF!</definedName>
    <definedName name="_bdm.4D5AAE86F6204C9A951ECF3EB05F81A7.edm" localSheetId="7" hidden="1">#REF!</definedName>
    <definedName name="_bdm.4D5AAE86F6204C9A951ECF3EB05F81A7.edm" localSheetId="2" hidden="1">#REF!</definedName>
    <definedName name="_bdm.4D5AAE86F6204C9A951ECF3EB05F81A7.edm" localSheetId="6" hidden="1">#REF!</definedName>
    <definedName name="_bdm.4D5AAE86F6204C9A951ECF3EB05F81A7.edm" hidden="1">#REF!</definedName>
    <definedName name="_bdm.4DE28E7274D14AC18868EAC622A82CE9.edm" localSheetId="2" hidden="1">#REF!</definedName>
    <definedName name="_bdm.4DE28E7274D14AC18868EAC622A82CE9.edm" hidden="1">#REF!</definedName>
    <definedName name="_bdm.4F093D9D0D684A00B8CE2A28F22BD2B8.edm" localSheetId="2" hidden="1">#REF!</definedName>
    <definedName name="_bdm.4F093D9D0D684A00B8CE2A28F22BD2B8.edm" hidden="1">#REF!</definedName>
    <definedName name="_bdm.4F546265E69843F4A026D415747A03CA.edm" localSheetId="2" hidden="1">#REF!</definedName>
    <definedName name="_bdm.4F546265E69843F4A026D415747A03CA.edm" hidden="1">#REF!</definedName>
    <definedName name="_bdm.4FE643A92F94478EA90EA60C23351C70.edm" localSheetId="2" hidden="1">#REF!</definedName>
    <definedName name="_bdm.4FE643A92F94478EA90EA60C23351C70.edm" hidden="1">#REF!</definedName>
    <definedName name="_bdm.50ED0AC1933744C1947C3718AF637DCC.edm" localSheetId="2" hidden="1">#REF!</definedName>
    <definedName name="_bdm.50ED0AC1933744C1947C3718AF637DCC.edm" hidden="1">#REF!</definedName>
    <definedName name="_bdm.53A859DF5B164668BCD2AEF6F136E3A3.edm" localSheetId="2" hidden="1">#REF!</definedName>
    <definedName name="_bdm.53A859DF5B164668BCD2AEF6F136E3A3.edm" hidden="1">#REF!</definedName>
    <definedName name="_bdm.559A52F730124D0ABF53A87B7E379125.edm" localSheetId="8" hidden="1">#REF!</definedName>
    <definedName name="_bdm.559A52F730124D0ABF53A87B7E379125.edm" localSheetId="7" hidden="1">#REF!</definedName>
    <definedName name="_bdm.559A52F730124D0ABF53A87B7E379125.edm" localSheetId="2" hidden="1">#REF!</definedName>
    <definedName name="_bdm.559A52F730124D0ABF53A87B7E379125.edm" localSheetId="6" hidden="1">#REF!</definedName>
    <definedName name="_bdm.559A52F730124D0ABF53A87B7E379125.edm" hidden="1">#REF!</definedName>
    <definedName name="_bdm.55C637B2AF90489C8AF10B4659595622.edm" localSheetId="8" hidden="1">#REF!</definedName>
    <definedName name="_bdm.55C637B2AF90489C8AF10B4659595622.edm" localSheetId="7" hidden="1">#REF!</definedName>
    <definedName name="_bdm.55C637B2AF90489C8AF10B4659595622.edm" localSheetId="2" hidden="1">#REF!</definedName>
    <definedName name="_bdm.55C637B2AF90489C8AF10B4659595622.edm" localSheetId="6" hidden="1">#REF!</definedName>
    <definedName name="_bdm.55C637B2AF90489C8AF10B4659595622.edm" hidden="1">#REF!</definedName>
    <definedName name="_bdm.56C3BFD1E29345BBBE733475540A39B7.edm" localSheetId="8" hidden="1">#REF!</definedName>
    <definedName name="_bdm.56C3BFD1E29345BBBE733475540A39B7.edm" localSheetId="7" hidden="1">#REF!</definedName>
    <definedName name="_bdm.56C3BFD1E29345BBBE733475540A39B7.edm" localSheetId="2" hidden="1">#REF!</definedName>
    <definedName name="_bdm.56C3BFD1E29345BBBE733475540A39B7.edm" localSheetId="6" hidden="1">#REF!</definedName>
    <definedName name="_bdm.56C3BFD1E29345BBBE733475540A39B7.edm" hidden="1">#REF!</definedName>
    <definedName name="_bdm.56C908E9474F4CC180BA248CA7E0ADB2.edm" localSheetId="2" hidden="1">#REF!</definedName>
    <definedName name="_bdm.56C908E9474F4CC180BA248CA7E0ADB2.edm" hidden="1">#REF!</definedName>
    <definedName name="_bdm.5E1F7169C84047268C85C6FE27B0F973.edm" localSheetId="8" hidden="1">#REF!</definedName>
    <definedName name="_bdm.5E1F7169C84047268C85C6FE27B0F973.edm" localSheetId="7" hidden="1">#REF!</definedName>
    <definedName name="_bdm.5E1F7169C84047268C85C6FE27B0F973.edm" localSheetId="2" hidden="1">#REF!</definedName>
    <definedName name="_bdm.5E1F7169C84047268C85C6FE27B0F973.edm" localSheetId="6" hidden="1">#REF!</definedName>
    <definedName name="_bdm.5E1F7169C84047268C85C6FE27B0F973.edm" hidden="1">#REF!</definedName>
    <definedName name="_bdm.5E2D9DAF267D463EA602444BCCB2A789.edm" localSheetId="2" hidden="1">#REF!</definedName>
    <definedName name="_bdm.5E2D9DAF267D463EA602444BCCB2A789.edm" hidden="1">#REF!</definedName>
    <definedName name="_bdm.5F15C3E5D64440189642AE0BC43F0EE5.edm" localSheetId="2" hidden="1">#REF!</definedName>
    <definedName name="_bdm.5F15C3E5D64440189642AE0BC43F0EE5.edm" hidden="1">#REF!</definedName>
    <definedName name="_bdm.606419E0580848F59AB324B771996CD1.edm" localSheetId="2" hidden="1">#REF!</definedName>
    <definedName name="_bdm.606419E0580848F59AB324B771996CD1.edm" hidden="1">#REF!</definedName>
    <definedName name="_bdm.60a81400e01349438446b80f6ac32ec5.edm" localSheetId="2" hidden="1">#REF!</definedName>
    <definedName name="_bdm.60a81400e01349438446b80f6ac32ec5.edm" hidden="1">#REF!</definedName>
    <definedName name="_bdm.632686649254457B98A04A830F7785FC.edm" localSheetId="2" hidden="1">#REF!</definedName>
    <definedName name="_bdm.632686649254457B98A04A830F7785FC.edm" hidden="1">#REF!</definedName>
    <definedName name="_bdm.6528B87F489244399FB808A1A43510B9.edm" localSheetId="2" hidden="1">#REF!</definedName>
    <definedName name="_bdm.6528B87F489244399FB808A1A43510B9.edm" hidden="1">#REF!</definedName>
    <definedName name="_bdm.65F2DB2310874133AE56A666446558E3.edm" localSheetId="2" hidden="1">#REF!</definedName>
    <definedName name="_bdm.65F2DB2310874133AE56A666446558E3.edm" hidden="1">#REF!</definedName>
    <definedName name="_bdm.667ADA64E009496A9A793AF989852D85.edm" localSheetId="2" hidden="1">#REF!</definedName>
    <definedName name="_bdm.667ADA64E009496A9A793AF989852D85.edm" hidden="1">#REF!</definedName>
    <definedName name="_bdm.6BB9C2C88B764E53815C16E8E95FCB55.edm" localSheetId="2" hidden="1">#REF!</definedName>
    <definedName name="_bdm.6BB9C2C88B764E53815C16E8E95FCB55.edm" hidden="1">#REF!</definedName>
    <definedName name="_bdm.6BE8B77458C34EDF9F98E059D1696859.edm" localSheetId="8" hidden="1">#REF!</definedName>
    <definedName name="_bdm.6BE8B77458C34EDF9F98E059D1696859.edm" localSheetId="7" hidden="1">#REF!</definedName>
    <definedName name="_bdm.6BE8B77458C34EDF9F98E059D1696859.edm" localSheetId="2" hidden="1">#REF!</definedName>
    <definedName name="_bdm.6BE8B77458C34EDF9F98E059D1696859.edm" localSheetId="6" hidden="1">#REF!</definedName>
    <definedName name="_bdm.6BE8B77458C34EDF9F98E059D1696859.edm" hidden="1">#REF!</definedName>
    <definedName name="_bdm.6d1c1356f97b4251910ee996c8b68673.edm" localSheetId="2" hidden="1">#REF!</definedName>
    <definedName name="_bdm.6d1c1356f97b4251910ee996c8b68673.edm" hidden="1">#REF!</definedName>
    <definedName name="_bdm.6EB531D1EE1D43548EA3916E11178C8C.edm" localSheetId="2" hidden="1">#REF!</definedName>
    <definedName name="_bdm.6EB531D1EE1D43548EA3916E11178C8C.edm" hidden="1">#REF!</definedName>
    <definedName name="_bdm.6EF4832A57374BBDB7027CF5502BD344.edm" localSheetId="2" hidden="1">#REF!</definedName>
    <definedName name="_bdm.6EF4832A57374BBDB7027CF5502BD344.edm" hidden="1">#REF!</definedName>
    <definedName name="_bdm.702580a0375e4db7b91474829dc9d9a2.edm" localSheetId="2" hidden="1">#REF!</definedName>
    <definedName name="_bdm.702580a0375e4db7b91474829dc9d9a2.edm" hidden="1">#REF!</definedName>
    <definedName name="_bdm.710A7D760DD14B7986EF4ACAFD044C08.edm" localSheetId="8" hidden="1">#REF!</definedName>
    <definedName name="_bdm.710A7D760DD14B7986EF4ACAFD044C08.edm" localSheetId="7" hidden="1">#REF!</definedName>
    <definedName name="_bdm.710A7D760DD14B7986EF4ACAFD044C08.edm" localSheetId="2" hidden="1">#REF!</definedName>
    <definedName name="_bdm.710A7D760DD14B7986EF4ACAFD044C08.edm" localSheetId="6" hidden="1">#REF!</definedName>
    <definedName name="_bdm.710A7D760DD14B7986EF4ACAFD044C08.edm" hidden="1">#REF!</definedName>
    <definedName name="_bdm.7204F71BCAB7449FB020ECDD472457F0.edm" localSheetId="2" hidden="1">#REF!</definedName>
    <definedName name="_bdm.7204F71BCAB7449FB020ECDD472457F0.edm" hidden="1">#REF!</definedName>
    <definedName name="_bdm.749340f2fcaf4feda43de7dd093ae811.edm" localSheetId="2" hidden="1">#REF!</definedName>
    <definedName name="_bdm.749340f2fcaf4feda43de7dd093ae811.edm" hidden="1">#REF!</definedName>
    <definedName name="_bdm.7597D9E9AA4A46888177E9E5F3582ECE.edm" localSheetId="8" hidden="1">#REF!</definedName>
    <definedName name="_bdm.7597D9E9AA4A46888177E9E5F3582ECE.edm" localSheetId="7" hidden="1">#REF!</definedName>
    <definedName name="_bdm.7597D9E9AA4A46888177E9E5F3582ECE.edm" localSheetId="2" hidden="1">#REF!</definedName>
    <definedName name="_bdm.7597D9E9AA4A46888177E9E5F3582ECE.edm" localSheetId="6" hidden="1">#REF!</definedName>
    <definedName name="_bdm.7597D9E9AA4A46888177E9E5F3582ECE.edm" hidden="1">#REF!</definedName>
    <definedName name="_bdm.78337B59E1FE44A78A326231FC2A0D88.edm" localSheetId="2" hidden="1">#REF!</definedName>
    <definedName name="_bdm.78337B59E1FE44A78A326231FC2A0D88.edm" hidden="1">#REF!</definedName>
    <definedName name="_bdm.7A4550BDA5C34FC59B428FFFC0C3B8F6.edm" localSheetId="2" hidden="1">#REF!</definedName>
    <definedName name="_bdm.7A4550BDA5C34FC59B428FFFC0C3B8F6.edm" hidden="1">#REF!</definedName>
    <definedName name="_bdm.7DC70BC33D9041D780F45ADD7A89EDFB.edm" localSheetId="2" hidden="1">#REF!</definedName>
    <definedName name="_bdm.7DC70BC33D9041D780F45ADD7A89EDFB.edm" hidden="1">#REF!</definedName>
    <definedName name="_bdm.812488CA32E24F5D98E5273612BFB13F.edm" localSheetId="8" hidden="1">#REF!</definedName>
    <definedName name="_bdm.812488CA32E24F5D98E5273612BFB13F.edm" localSheetId="7" hidden="1">#REF!</definedName>
    <definedName name="_bdm.812488CA32E24F5D98E5273612BFB13F.edm" localSheetId="2" hidden="1">#REF!</definedName>
    <definedName name="_bdm.812488CA32E24F5D98E5273612BFB13F.edm" localSheetId="6" hidden="1">#REF!</definedName>
    <definedName name="_bdm.812488CA32E24F5D98E5273612BFB13F.edm" hidden="1">#REF!</definedName>
    <definedName name="_bdm.81BFA72B27E44C11964D7EA4D5097D31.edm" localSheetId="8" hidden="1">#REF!</definedName>
    <definedName name="_bdm.81BFA72B27E44C11964D7EA4D5097D31.edm" localSheetId="7" hidden="1">#REF!</definedName>
    <definedName name="_bdm.81BFA72B27E44C11964D7EA4D5097D31.edm" localSheetId="2" hidden="1">#REF!</definedName>
    <definedName name="_bdm.81BFA72B27E44C11964D7EA4D5097D31.edm" localSheetId="6" hidden="1">#REF!</definedName>
    <definedName name="_bdm.81BFA72B27E44C11964D7EA4D5097D31.edm" hidden="1">#REF!</definedName>
    <definedName name="_bdm.841EA0B006A44929AE11FF499E8FAF84.edm" localSheetId="8" hidden="1">#REF!</definedName>
    <definedName name="_bdm.841EA0B006A44929AE11FF499E8FAF84.edm" localSheetId="7" hidden="1">#REF!</definedName>
    <definedName name="_bdm.841EA0B006A44929AE11FF499E8FAF84.edm" localSheetId="2" hidden="1">#REF!</definedName>
    <definedName name="_bdm.841EA0B006A44929AE11FF499E8FAF84.edm" localSheetId="6" hidden="1">#REF!</definedName>
    <definedName name="_bdm.841EA0B006A44929AE11FF499E8FAF84.edm" hidden="1">#REF!</definedName>
    <definedName name="_bdm.8469bb6788b84422a854abefd5a94bbb.edm" localSheetId="2" hidden="1">#REF!</definedName>
    <definedName name="_bdm.8469bb6788b84422a854abefd5a94bbb.edm" hidden="1">#REF!</definedName>
    <definedName name="_bdm.8751272F9A8D44378B32AA98C3E0D37C.edm" localSheetId="2" hidden="1">#REF!</definedName>
    <definedName name="_bdm.8751272F9A8D44378B32AA98C3E0D37C.edm" hidden="1">#REF!</definedName>
    <definedName name="_bdm.87FBA5E37D5F4FD6BABE514FCD1A13B1.edm" localSheetId="8" hidden="1">#REF!</definedName>
    <definedName name="_bdm.87FBA5E37D5F4FD6BABE514FCD1A13B1.edm" localSheetId="7" hidden="1">#REF!</definedName>
    <definedName name="_bdm.87FBA5E37D5F4FD6BABE514FCD1A13B1.edm" localSheetId="2" hidden="1">#REF!</definedName>
    <definedName name="_bdm.87FBA5E37D5F4FD6BABE514FCD1A13B1.edm" localSheetId="6" hidden="1">#REF!</definedName>
    <definedName name="_bdm.87FBA5E37D5F4FD6BABE514FCD1A13B1.edm" hidden="1">#REF!</definedName>
    <definedName name="_bdm.8AB6C7A8BC4E45A3940B193DD45E8EF2.edm" localSheetId="8" hidden="1">#REF!</definedName>
    <definedName name="_bdm.8AB6C7A8BC4E45A3940B193DD45E8EF2.edm" localSheetId="7" hidden="1">#REF!</definedName>
    <definedName name="_bdm.8AB6C7A8BC4E45A3940B193DD45E8EF2.edm" localSheetId="2" hidden="1">#REF!</definedName>
    <definedName name="_bdm.8AB6C7A8BC4E45A3940B193DD45E8EF2.edm" localSheetId="6" hidden="1">#REF!</definedName>
    <definedName name="_bdm.8AB6C7A8BC4E45A3940B193DD45E8EF2.edm" hidden="1">#REF!</definedName>
    <definedName name="_bdm.8B4ED4D9026846A0AADD0406E9CF8FBA.edm" localSheetId="2" hidden="1">#REF!</definedName>
    <definedName name="_bdm.8B4ED4D9026846A0AADD0406E9CF8FBA.edm" hidden="1">#REF!</definedName>
    <definedName name="_bdm.8d5d9c90d26f44f481c393b651554120.edm" localSheetId="2" hidden="1">#REF!</definedName>
    <definedName name="_bdm.8d5d9c90d26f44f481c393b651554120.edm" hidden="1">#REF!</definedName>
    <definedName name="_bdm.8FDAD1057FDF40698796319C7D32BC25.edm" localSheetId="8" hidden="1">#REF!</definedName>
    <definedName name="_bdm.8FDAD1057FDF40698796319C7D32BC25.edm" localSheetId="7" hidden="1">#REF!</definedName>
    <definedName name="_bdm.8FDAD1057FDF40698796319C7D32BC25.edm" localSheetId="2" hidden="1">#REF!</definedName>
    <definedName name="_bdm.8FDAD1057FDF40698796319C7D32BC25.edm" localSheetId="6" hidden="1">#REF!</definedName>
    <definedName name="_bdm.8FDAD1057FDF40698796319C7D32BC25.edm" hidden="1">#REF!</definedName>
    <definedName name="_bdm.91e1601bc3824433a16197122ba620a0.edm" localSheetId="2" hidden="1">#REF!</definedName>
    <definedName name="_bdm.91e1601bc3824433a16197122ba620a0.edm" hidden="1">#REF!</definedName>
    <definedName name="_bdm.9227166E74154818A5A674838FE9D037.edm" localSheetId="8" hidden="1">#REF!</definedName>
    <definedName name="_bdm.9227166E74154818A5A674838FE9D037.edm" localSheetId="7" hidden="1">#REF!</definedName>
    <definedName name="_bdm.9227166E74154818A5A674838FE9D037.edm" localSheetId="2" hidden="1">#REF!</definedName>
    <definedName name="_bdm.9227166E74154818A5A674838FE9D037.edm" localSheetId="6" hidden="1">#REF!</definedName>
    <definedName name="_bdm.9227166E74154818A5A674838FE9D037.edm" hidden="1">#REF!</definedName>
    <definedName name="_bdm.92D549AB5EC94958A3ABCC7F66F702A6.edm" localSheetId="2" hidden="1">#REF!</definedName>
    <definedName name="_bdm.92D549AB5EC94958A3ABCC7F66F702A6.edm" hidden="1">#REF!</definedName>
    <definedName name="_bdm.935D53C4A3384991950E0714FE2E4F48.edm" localSheetId="2" hidden="1">#REF!</definedName>
    <definedName name="_bdm.935D53C4A3384991950E0714FE2E4F48.edm" hidden="1">#REF!</definedName>
    <definedName name="_bdm.955a9a99b38948afa34c8be1c44536bc.edm" localSheetId="3" hidden="1">'ODM share analysis'!$B$10:$H$50</definedName>
    <definedName name="_bdm.97FEA39CA7D944828AAEC417C14F4A7A.edm" localSheetId="2" hidden="1">#REF!</definedName>
    <definedName name="_bdm.97FEA39CA7D944828AAEC417C14F4A7A.edm" hidden="1">#REF!</definedName>
    <definedName name="_bdm.99E38C9459A44475BDE8D170CD080508.edm" localSheetId="8" hidden="1">#REF!</definedName>
    <definedName name="_bdm.99E38C9459A44475BDE8D170CD080508.edm" localSheetId="7" hidden="1">#REF!</definedName>
    <definedName name="_bdm.99E38C9459A44475BDE8D170CD080508.edm" localSheetId="2" hidden="1">#REF!</definedName>
    <definedName name="_bdm.99E38C9459A44475BDE8D170CD080508.edm" localSheetId="6" hidden="1">#REF!</definedName>
    <definedName name="_bdm.99E38C9459A44475BDE8D170CD080508.edm" hidden="1">#REF!</definedName>
    <definedName name="_bdm.9AE3B872083547F9833AAFEDF37FF861.edm" localSheetId="2" hidden="1">#REF!</definedName>
    <definedName name="_bdm.9AE3B872083547F9833AAFEDF37FF861.edm" hidden="1">#REF!</definedName>
    <definedName name="_bdm.9AEDEB5F1F7949F5B7D5AA272CB0E6DB.edm" localSheetId="2" hidden="1">#REF!</definedName>
    <definedName name="_bdm.9AEDEB5F1F7949F5B7D5AA272CB0E6DB.edm" hidden="1">#REF!</definedName>
    <definedName name="_bdm.9AFD52FE61E74A71BB63C471B208B57C.edm" localSheetId="8" hidden="1">#REF!</definedName>
    <definedName name="_bdm.9AFD52FE61E74A71BB63C471B208B57C.edm" localSheetId="7" hidden="1">#REF!</definedName>
    <definedName name="_bdm.9AFD52FE61E74A71BB63C471B208B57C.edm" localSheetId="2" hidden="1">#REF!</definedName>
    <definedName name="_bdm.9AFD52FE61E74A71BB63C471B208B57C.edm" localSheetId="6" hidden="1">#REF!</definedName>
    <definedName name="_bdm.9AFD52FE61E74A71BB63C471B208B57C.edm" hidden="1">#REF!</definedName>
    <definedName name="_bdm.9E42A50596AB46E8B5799F35CB0355AB.edm" localSheetId="8" hidden="1">#REF!</definedName>
    <definedName name="_bdm.9E42A50596AB46E8B5799F35CB0355AB.edm" localSheetId="7" hidden="1">#REF!</definedName>
    <definedName name="_bdm.9E42A50596AB46E8B5799F35CB0355AB.edm" localSheetId="2" hidden="1">#REF!</definedName>
    <definedName name="_bdm.9E42A50596AB46E8B5799F35CB0355AB.edm" localSheetId="6" hidden="1">#REF!</definedName>
    <definedName name="_bdm.9E42A50596AB46E8B5799F35CB0355AB.edm" hidden="1">#REF!</definedName>
    <definedName name="_bdm.9FAE4311AF264C9B97B40C8D203DACC4.edm" localSheetId="2" hidden="1">#REF!</definedName>
    <definedName name="_bdm.9FAE4311AF264C9B97B40C8D203DACC4.edm" hidden="1">#REF!</definedName>
    <definedName name="_bdm.A3ACFCACAAFF4494BBCA301C65C0619F.edm" localSheetId="8" hidden="1">#REF!</definedName>
    <definedName name="_bdm.A3ACFCACAAFF4494BBCA301C65C0619F.edm" localSheetId="7" hidden="1">#REF!</definedName>
    <definedName name="_bdm.A3ACFCACAAFF4494BBCA301C65C0619F.edm" localSheetId="2" hidden="1">#REF!</definedName>
    <definedName name="_bdm.A3ACFCACAAFF4494BBCA301C65C0619F.edm" localSheetId="6" hidden="1">#REF!</definedName>
    <definedName name="_bdm.A3ACFCACAAFF4494BBCA301C65C0619F.edm" hidden="1">#REF!</definedName>
    <definedName name="_bdm.A504FFDC0AF04F579D839B9C514D25D1.edm" localSheetId="8" hidden="1">#REF!</definedName>
    <definedName name="_bdm.A504FFDC0AF04F579D839B9C514D25D1.edm" localSheetId="7" hidden="1">#REF!</definedName>
    <definedName name="_bdm.A504FFDC0AF04F579D839B9C514D25D1.edm" localSheetId="2" hidden="1">#REF!</definedName>
    <definedName name="_bdm.A504FFDC0AF04F579D839B9C514D25D1.edm" localSheetId="6" hidden="1">#REF!</definedName>
    <definedName name="_bdm.A504FFDC0AF04F579D839B9C514D25D1.edm" hidden="1">#REF!</definedName>
    <definedName name="_bdm.A8C362D7BCE542E78C733B33B2AFD4C8.edm" localSheetId="2" hidden="1">#REF!</definedName>
    <definedName name="_bdm.A8C362D7BCE542E78C733B33B2AFD4C8.edm" hidden="1">#REF!</definedName>
    <definedName name="_bdm.ABF7C79E640B49E8B817F28773DF7A02.edm" localSheetId="2" hidden="1">#REF!</definedName>
    <definedName name="_bdm.ABF7C79E640B49E8B817F28773DF7A02.edm" hidden="1">#REF!</definedName>
    <definedName name="_bdm.ACDA514CAD0B4D02B4AFDD52E4D1F387.edm" localSheetId="2" hidden="1">#REF!</definedName>
    <definedName name="_bdm.ACDA514CAD0B4D02B4AFDD52E4D1F387.edm" hidden="1">#REF!</definedName>
    <definedName name="_bdm.AE73063A632F4E1DB6FEC189A023FD0E.edm" localSheetId="2" hidden="1">#REF!</definedName>
    <definedName name="_bdm.AE73063A632F4E1DB6FEC189A023FD0E.edm" hidden="1">#REF!</definedName>
    <definedName name="_bdm.B1759011AA0C47A5B86358DD4204A8B8.edm" localSheetId="8" hidden="1">#REF!</definedName>
    <definedName name="_bdm.B1759011AA0C47A5B86358DD4204A8B8.edm" localSheetId="7" hidden="1">#REF!</definedName>
    <definedName name="_bdm.B1759011AA0C47A5B86358DD4204A8B8.edm" localSheetId="2" hidden="1">#REF!</definedName>
    <definedName name="_bdm.B1759011AA0C47A5B86358DD4204A8B8.edm" localSheetId="6" hidden="1">#REF!</definedName>
    <definedName name="_bdm.B1759011AA0C47A5B86358DD4204A8B8.edm" hidden="1">#REF!</definedName>
    <definedName name="_bdm.B1F459ED56F848028478C8AE986B6467.edm" localSheetId="2" hidden="1">#REF!</definedName>
    <definedName name="_bdm.B1F459ED56F848028478C8AE986B6467.edm" hidden="1">#REF!</definedName>
    <definedName name="_bdm.B2830D9544C947C3B44B1B5939869276.edm" localSheetId="2" hidden="1">#REF!</definedName>
    <definedName name="_bdm.B2830D9544C947C3B44B1B5939869276.edm" hidden="1">#REF!</definedName>
    <definedName name="_bdm.B44A6509B42742559C1BA734A3459C1D.edm" localSheetId="2" hidden="1">#REF!</definedName>
    <definedName name="_bdm.B44A6509B42742559C1BA734A3459C1D.edm" hidden="1">#REF!</definedName>
    <definedName name="_bdm.B455C74257584781844C27248087ECF7.edm" localSheetId="8" hidden="1">#REF!</definedName>
    <definedName name="_bdm.B455C74257584781844C27248087ECF7.edm" localSheetId="7" hidden="1">#REF!</definedName>
    <definedName name="_bdm.B455C74257584781844C27248087ECF7.edm" localSheetId="2" hidden="1">#REF!</definedName>
    <definedName name="_bdm.B455C74257584781844C27248087ECF7.edm" localSheetId="6" hidden="1">#REF!</definedName>
    <definedName name="_bdm.B455C74257584781844C27248087ECF7.edm" hidden="1">#REF!</definedName>
    <definedName name="_bdm.BB819002A6854174829D02CF58CC1699.edm" localSheetId="8" hidden="1">[1]DATASHEET!#REF!</definedName>
    <definedName name="_bdm.BB819002A6854174829D02CF58CC1699.edm" localSheetId="7" hidden="1">[1]DATASHEET!#REF!</definedName>
    <definedName name="_bdm.BB819002A6854174829D02CF58CC1699.edm" localSheetId="2" hidden="1">#REF!</definedName>
    <definedName name="_bdm.BB819002A6854174829D02CF58CC1699.edm" localSheetId="6" hidden="1">[1]DATASHEET!#REF!</definedName>
    <definedName name="_bdm.BB819002A6854174829D02CF58CC1699.edm" hidden="1">#REF!</definedName>
    <definedName name="_bdm.BBA57F25008C4CA6ADA801267ADFFD37.edm" localSheetId="2" hidden="1">#REF!</definedName>
    <definedName name="_bdm.BBA57F25008C4CA6ADA801267ADFFD37.edm" hidden="1">#REF!</definedName>
    <definedName name="_bdm.bc93110f542a430aa466bd931b4799b3.edm" localSheetId="2" hidden="1">#REF!</definedName>
    <definedName name="_bdm.bc93110f542a430aa466bd931b4799b3.edm" hidden="1">#REF!</definedName>
    <definedName name="_bdm.BDD360FE6FE64DD9AC61F9FCE0DFD937.edm" localSheetId="2" hidden="1">#REF!</definedName>
    <definedName name="_bdm.BDD360FE6FE64DD9AC61F9FCE0DFD937.edm" hidden="1">#REF!</definedName>
    <definedName name="_bdm.BE6BBBC66EBE418BA7AE840ADAAA2777.edm" localSheetId="2" hidden="1">#REF!</definedName>
    <definedName name="_bdm.BE6BBBC66EBE418BA7AE840ADAAA2777.edm" hidden="1">#REF!</definedName>
    <definedName name="_bdm.BEC891F582CC478F9131FE16388C1849.edm" localSheetId="8" hidden="1">#REF!</definedName>
    <definedName name="_bdm.BEC891F582CC478F9131FE16388C1849.edm" localSheetId="7" hidden="1">#REF!</definedName>
    <definedName name="_bdm.BEC891F582CC478F9131FE16388C1849.edm" localSheetId="2" hidden="1">#REF!</definedName>
    <definedName name="_bdm.BEC891F582CC478F9131FE16388C1849.edm" localSheetId="6" hidden="1">#REF!</definedName>
    <definedName name="_bdm.BEC891F582CC478F9131FE16388C1849.edm" hidden="1">#REF!</definedName>
    <definedName name="_bdm.C1831543A1354D089C407E58765B5E52.edm" localSheetId="8" hidden="1">#REF!</definedName>
    <definedName name="_bdm.C1831543A1354D089C407E58765B5E52.edm" localSheetId="7" hidden="1">#REF!</definedName>
    <definedName name="_bdm.C1831543A1354D089C407E58765B5E52.edm" localSheetId="2" hidden="1">#REF!</definedName>
    <definedName name="_bdm.C1831543A1354D089C407E58765B5E52.edm" localSheetId="6" hidden="1">#REF!</definedName>
    <definedName name="_bdm.C1831543A1354D089C407E58765B5E52.edm" hidden="1">#REF!</definedName>
    <definedName name="_bdm.C518E8102D9641DB902AEA3C5D2B891C.edm" localSheetId="8" hidden="1">#REF!</definedName>
    <definedName name="_bdm.C518E8102D9641DB902AEA3C5D2B891C.edm" localSheetId="7" hidden="1">#REF!</definedName>
    <definedName name="_bdm.C518E8102D9641DB902AEA3C5D2B891C.edm" localSheetId="2" hidden="1">#REF!</definedName>
    <definedName name="_bdm.C518E8102D9641DB902AEA3C5D2B891C.edm" localSheetId="6" hidden="1">#REF!</definedName>
    <definedName name="_bdm.C518E8102D9641DB902AEA3C5D2B891C.edm" hidden="1">#REF!</definedName>
    <definedName name="_bdm.C5A5DC7CF8344CA1ADAF0906A35F64DF.edm" localSheetId="8" hidden="1">#REF!</definedName>
    <definedName name="_bdm.C5A5DC7CF8344CA1ADAF0906A35F64DF.edm" localSheetId="7" hidden="1">#REF!</definedName>
    <definedName name="_bdm.C5A5DC7CF8344CA1ADAF0906A35F64DF.edm" localSheetId="2" hidden="1">#REF!</definedName>
    <definedName name="_bdm.C5A5DC7CF8344CA1ADAF0906A35F64DF.edm" localSheetId="6" hidden="1">#REF!</definedName>
    <definedName name="_bdm.C5A5DC7CF8344CA1ADAF0906A35F64DF.edm" hidden="1">#REF!</definedName>
    <definedName name="_bdm.C78AE1DBE40D40FE9FD58D0FA889CB2B.edm" localSheetId="2" hidden="1">#REF!</definedName>
    <definedName name="_bdm.C78AE1DBE40D40FE9FD58D0FA889CB2B.edm" hidden="1">#REF!</definedName>
    <definedName name="_bdm.c84f7bbb12484a02a5e9990471ef415d.edm" localSheetId="2" hidden="1">#REF!</definedName>
    <definedName name="_bdm.c84f7bbb12484a02a5e9990471ef415d.edm" hidden="1">#REF!</definedName>
    <definedName name="_bdm.C91EAE01ECEB47CAB333DB91D65A04A9.edm" localSheetId="2" hidden="1">#REF!</definedName>
    <definedName name="_bdm.C91EAE01ECEB47CAB333DB91D65A04A9.edm" hidden="1">#REF!</definedName>
    <definedName name="_bdm.C93AB5DC1DD34F4CBA18ED37EA25A29F.edm" localSheetId="8" hidden="1">#REF!</definedName>
    <definedName name="_bdm.C93AB5DC1DD34F4CBA18ED37EA25A29F.edm" localSheetId="7" hidden="1">#REF!</definedName>
    <definedName name="_bdm.C93AB5DC1DD34F4CBA18ED37EA25A29F.edm" localSheetId="2" hidden="1">#REF!</definedName>
    <definedName name="_bdm.C93AB5DC1DD34F4CBA18ED37EA25A29F.edm" localSheetId="6" hidden="1">#REF!</definedName>
    <definedName name="_bdm.C93AB5DC1DD34F4CBA18ED37EA25A29F.edm" hidden="1">#REF!</definedName>
    <definedName name="_bdm.ca713ad1d33a4f749c43e02eb3bb518f.edm" localSheetId="2" hidden="1">#REF!</definedName>
    <definedName name="_bdm.ca713ad1d33a4f749c43e02eb3bb518f.edm" hidden="1">#REF!</definedName>
    <definedName name="_bdm.CD6344C33E4B4D01B008136F0DF313C7.edm" localSheetId="2" hidden="1">#REF!</definedName>
    <definedName name="_bdm.CD6344C33E4B4D01B008136F0DF313C7.edm" hidden="1">#REF!</definedName>
    <definedName name="_bdm.CE23AD4DC4F14FF88C02C471D090ADAB.edm" localSheetId="8" hidden="1">#REF!</definedName>
    <definedName name="_bdm.CE23AD4DC4F14FF88C02C471D090ADAB.edm" localSheetId="7" hidden="1">#REF!</definedName>
    <definedName name="_bdm.CE23AD4DC4F14FF88C02C471D090ADAB.edm" localSheetId="2" hidden="1">#REF!</definedName>
    <definedName name="_bdm.CE23AD4DC4F14FF88C02C471D090ADAB.edm" localSheetId="6" hidden="1">#REF!</definedName>
    <definedName name="_bdm.CE23AD4DC4F14FF88C02C471D090ADAB.edm" hidden="1">#REF!</definedName>
    <definedName name="_bdm.CEAA3CBBAA644A3FB16383AF327BC2BC.edm" localSheetId="2" hidden="1">#REF!</definedName>
    <definedName name="_bdm.CEAA3CBBAA644A3FB16383AF327BC2BC.edm" hidden="1">#REF!</definedName>
    <definedName name="_bdm.CF0C28FCEA0B4535AACA7E3F5875345F.edm" localSheetId="8" hidden="1">#REF!</definedName>
    <definedName name="_bdm.CF0C28FCEA0B4535AACA7E3F5875345F.edm" localSheetId="7" hidden="1">#REF!</definedName>
    <definedName name="_bdm.CF0C28FCEA0B4535AACA7E3F5875345F.edm" localSheetId="2" hidden="1">#REF!</definedName>
    <definedName name="_bdm.CF0C28FCEA0B4535AACA7E3F5875345F.edm" localSheetId="6" hidden="1">#REF!</definedName>
    <definedName name="_bdm.CF0C28FCEA0B4535AACA7E3F5875345F.edm" hidden="1">#REF!</definedName>
    <definedName name="_bdm.CF45F5FC0AE747A6AE2E2A6080387DA1.edm" localSheetId="8" hidden="1">#REF!</definedName>
    <definedName name="_bdm.CF45F5FC0AE747A6AE2E2A6080387DA1.edm" localSheetId="7" hidden="1">#REF!</definedName>
    <definedName name="_bdm.CF45F5FC0AE747A6AE2E2A6080387DA1.edm" localSheetId="2" hidden="1">#REF!</definedName>
    <definedName name="_bdm.CF45F5FC0AE747A6AE2E2A6080387DA1.edm" localSheetId="6" hidden="1">#REF!</definedName>
    <definedName name="_bdm.CF45F5FC0AE747A6AE2E2A6080387DA1.edm" hidden="1">#REF!</definedName>
    <definedName name="_bdm.D37D6240E8274B6FBD27E8E23AAB2E4A.edm" localSheetId="2" hidden="1">#REF!</definedName>
    <definedName name="_bdm.D37D6240E8274B6FBD27E8E23AAB2E4A.edm" hidden="1">#REF!</definedName>
    <definedName name="_bdm.D3AA4320EEB84A5EBB9E1C6B0BE8CA31.edm" localSheetId="8" hidden="1">#REF!</definedName>
    <definedName name="_bdm.D3AA4320EEB84A5EBB9E1C6B0BE8CA31.edm" localSheetId="7" hidden="1">#REF!</definedName>
    <definedName name="_bdm.D3AA4320EEB84A5EBB9E1C6B0BE8CA31.edm" localSheetId="2" hidden="1">#REF!</definedName>
    <definedName name="_bdm.D3AA4320EEB84A5EBB9E1C6B0BE8CA31.edm" localSheetId="6" hidden="1">#REF!</definedName>
    <definedName name="_bdm.D3AA4320EEB84A5EBB9E1C6B0BE8CA31.edm" hidden="1">#REF!</definedName>
    <definedName name="_bdm.D5636CFE9D7E4FD7BFE3CA89B0562059.edm" localSheetId="2" hidden="1">#REF!</definedName>
    <definedName name="_bdm.D5636CFE9D7E4FD7BFE3CA89B0562059.edm" hidden="1">#REF!</definedName>
    <definedName name="_bdm.D7C501A00E524476B78DBB5BE5FC43A6.edm" localSheetId="2" hidden="1">#REF!</definedName>
    <definedName name="_bdm.D7C501A00E524476B78DBB5BE5FC43A6.edm" hidden="1">#REF!</definedName>
    <definedName name="_bdm.D9AA1C2AE1E745A5B7B5519BB823E190.edm" localSheetId="8" hidden="1">#REF!</definedName>
    <definedName name="_bdm.D9AA1C2AE1E745A5B7B5519BB823E190.edm" localSheetId="7" hidden="1">#REF!</definedName>
    <definedName name="_bdm.D9AA1C2AE1E745A5B7B5519BB823E190.edm" localSheetId="2" hidden="1">#REF!</definedName>
    <definedName name="_bdm.D9AA1C2AE1E745A5B7B5519BB823E190.edm" localSheetId="6" hidden="1">#REF!</definedName>
    <definedName name="_bdm.D9AA1C2AE1E745A5B7B5519BB823E190.edm" hidden="1">#REF!</definedName>
    <definedName name="_bdm.DC392AC3F0B1426FBA976A5019EC88CF.edm" localSheetId="8" hidden="1">#REF!</definedName>
    <definedName name="_bdm.DC392AC3F0B1426FBA976A5019EC88CF.edm" localSheetId="7" hidden="1">#REF!</definedName>
    <definedName name="_bdm.DC392AC3F0B1426FBA976A5019EC88CF.edm" localSheetId="2" hidden="1">#REF!</definedName>
    <definedName name="_bdm.DC392AC3F0B1426FBA976A5019EC88CF.edm" localSheetId="6" hidden="1">#REF!</definedName>
    <definedName name="_bdm.DC392AC3F0B1426FBA976A5019EC88CF.edm" hidden="1">#REF!</definedName>
    <definedName name="_bdm.DD8CF19960B84372BC6C44D1E352ADA6.edm" localSheetId="8" hidden="1">#REF!</definedName>
    <definedName name="_bdm.DD8CF19960B84372BC6C44D1E352ADA6.edm" localSheetId="7" hidden="1">#REF!</definedName>
    <definedName name="_bdm.DD8CF19960B84372BC6C44D1E352ADA6.edm" localSheetId="2" hidden="1">#REF!</definedName>
    <definedName name="_bdm.DD8CF19960B84372BC6C44D1E352ADA6.edm" localSheetId="6" hidden="1">#REF!</definedName>
    <definedName name="_bdm.DD8CF19960B84372BC6C44D1E352ADA6.edm" hidden="1">#REF!</definedName>
    <definedName name="_bdm.ded6135c9ee9448092f5d2a612f9f02d.edm" localSheetId="2" hidden="1">#REF!</definedName>
    <definedName name="_bdm.ded6135c9ee9448092f5d2a612f9f02d.edm" hidden="1">#REF!</definedName>
    <definedName name="_bdm.E936E19139C345F9860E0FE6D45D5D42.edm" localSheetId="8" hidden="1">#REF!</definedName>
    <definedName name="_bdm.E936E19139C345F9860E0FE6D45D5D42.edm" localSheetId="7" hidden="1">#REF!</definedName>
    <definedName name="_bdm.E936E19139C345F9860E0FE6D45D5D42.edm" localSheetId="2" hidden="1">#REF!</definedName>
    <definedName name="_bdm.E936E19139C345F9860E0FE6D45D5D42.edm" localSheetId="6" hidden="1">#REF!</definedName>
    <definedName name="_bdm.E936E19139C345F9860E0FE6D45D5D42.edm" hidden="1">#REF!</definedName>
    <definedName name="_bdm.EA41DB31BA4B4FD8BC7BC962C6ED592C.edm" localSheetId="2" hidden="1">#REF!</definedName>
    <definedName name="_bdm.EA41DB31BA4B4FD8BC7BC962C6ED592C.edm" hidden="1">#REF!</definedName>
    <definedName name="_bdm.EC5929F46EA449CB83313B54F838236D.edm" localSheetId="2" hidden="1">#REF!</definedName>
    <definedName name="_bdm.EC5929F46EA449CB83313B54F838236D.edm" hidden="1">#REF!</definedName>
    <definedName name="_bdm.EFA674B0E7A84846BE735BA8FEC3D088.edm" localSheetId="2" hidden="1">#REF!</definedName>
    <definedName name="_bdm.EFA674B0E7A84846BE735BA8FEC3D088.edm" hidden="1">#REF!</definedName>
    <definedName name="_bdm.F676735258A6410E9B97DBC33DDB7D05.edm" localSheetId="8" hidden="1">#REF!</definedName>
    <definedName name="_bdm.F676735258A6410E9B97DBC33DDB7D05.edm" localSheetId="7" hidden="1">#REF!</definedName>
    <definedName name="_bdm.F676735258A6410E9B97DBC33DDB7D05.edm" localSheetId="2" hidden="1">#REF!</definedName>
    <definedName name="_bdm.F676735258A6410E9B97DBC33DDB7D05.edm" localSheetId="6" hidden="1">#REF!</definedName>
    <definedName name="_bdm.F676735258A6410E9B97DBC33DDB7D05.edm" hidden="1">#REF!</definedName>
    <definedName name="_bdm.f70976c96ea74570bff30537ba781bd8.edm" localSheetId="2" hidden="1">#REF!</definedName>
    <definedName name="_bdm.f70976c96ea74570bff30537ba781bd8.edm" hidden="1">#REF!</definedName>
    <definedName name="_bdm.FBA1D9D8D5FE47E9A770EA959648E28C.edm" localSheetId="8" hidden="1">#REF!</definedName>
    <definedName name="_bdm.FBA1D9D8D5FE47E9A770EA959648E28C.edm" localSheetId="7" hidden="1">#REF!</definedName>
    <definedName name="_bdm.FBA1D9D8D5FE47E9A770EA959648E28C.edm" localSheetId="2" hidden="1">#REF!</definedName>
    <definedName name="_bdm.FBA1D9D8D5FE47E9A770EA959648E28C.edm" localSheetId="6" hidden="1">#REF!</definedName>
    <definedName name="_bdm.FBA1D9D8D5FE47E9A770EA959648E28C.edm" hidden="1">#REF!</definedName>
    <definedName name="_bdm.FD5C74AF0FDF4E08A34002F29099492D.edm" localSheetId="8" hidden="1">#REF!</definedName>
    <definedName name="_bdm.FD5C74AF0FDF4E08A34002F29099492D.edm" localSheetId="7" hidden="1">#REF!</definedName>
    <definedName name="_bdm.FD5C74AF0FDF4E08A34002F29099492D.edm" localSheetId="2" hidden="1">#REF!</definedName>
    <definedName name="_bdm.FD5C74AF0FDF4E08A34002F29099492D.edm" localSheetId="6" hidden="1">#REF!</definedName>
    <definedName name="_bdm.FD5C74AF0FDF4E08A34002F29099492D.edm" hidden="1">#REF!</definedName>
    <definedName name="_bdm.FDDB7A9A3556452794C1F43A146AA193.edm" localSheetId="2" hidden="1">#REF!</definedName>
    <definedName name="_bdm.FDDB7A9A3556452794C1F43A146AA193.edm" hidden="1">#REF!</definedName>
    <definedName name="_bdm.FEB505CA6E2346E48769DC46854D8AA9.edm" localSheetId="2" hidden="1">#REF!</definedName>
    <definedName name="_bdm.FEB505CA6E2346E48769DC46854D8AA9.edm" hidden="1">#REF!</definedName>
    <definedName name="_ccVersion">1.74</definedName>
    <definedName name="_scenchg_count">1</definedName>
    <definedName name="africa" localSheetId="8">#REF!</definedName>
    <definedName name="africa" localSheetId="7">#REF!</definedName>
    <definedName name="africa" localSheetId="2">#REF!</definedName>
    <definedName name="africa" localSheetId="6">#REF!</definedName>
    <definedName name="africa">#REF!</definedName>
    <definedName name="africaCountries" localSheetId="8">#REF!</definedName>
    <definedName name="africaCountries" localSheetId="7">#REF!</definedName>
    <definedName name="africaCountries" localSheetId="2">#REF!</definedName>
    <definedName name="africaCountries" localSheetId="6">#REF!</definedName>
    <definedName name="africaCountries">#REF!</definedName>
    <definedName name="allRegions" localSheetId="8">#REF!</definedName>
    <definedName name="allRegions" localSheetId="7">#REF!</definedName>
    <definedName name="allRegions" localSheetId="2">#REF!</definedName>
    <definedName name="allRegions" localSheetId="6">#REF!</definedName>
    <definedName name="allRegions">#REF!</definedName>
    <definedName name="americaRegion" localSheetId="8">#REF!</definedName>
    <definedName name="americaRegion" localSheetId="7">#REF!</definedName>
    <definedName name="americaRegion" localSheetId="2">#REF!</definedName>
    <definedName name="americaRegion" localSheetId="6">#REF!</definedName>
    <definedName name="americaRegion">#REF!</definedName>
    <definedName name="americas" localSheetId="8">#REF!</definedName>
    <definedName name="americas" localSheetId="7">#REF!</definedName>
    <definedName name="americas" localSheetId="2">#REF!</definedName>
    <definedName name="americas" localSheetId="6">#REF!</definedName>
    <definedName name="americas">#REF!</definedName>
    <definedName name="americasStates" localSheetId="8">#REF!</definedName>
    <definedName name="americasStates" localSheetId="7">#REF!</definedName>
    <definedName name="americasStates" localSheetId="2">#REF!</definedName>
    <definedName name="americasStates" localSheetId="6">#REF!</definedName>
    <definedName name="americasStates">#REF!</definedName>
    <definedName name="AppVersion" localSheetId="8">#REF!</definedName>
    <definedName name="AppVersion" localSheetId="7">#REF!</definedName>
    <definedName name="AppVersion" localSheetId="2">#REF!</definedName>
    <definedName name="AppVersion" localSheetId="6">#REF!</definedName>
    <definedName name="AppVersion">#REF!</definedName>
    <definedName name="asiaPacific" localSheetId="8">#REF!</definedName>
    <definedName name="asiaPacific" localSheetId="7">#REF!</definedName>
    <definedName name="asiaPacific" localSheetId="2">#REF!</definedName>
    <definedName name="asiaPacific" localSheetId="6">#REF!</definedName>
    <definedName name="asiaPacific">#REF!</definedName>
    <definedName name="asiaPacificExJapan" localSheetId="8">#REF!</definedName>
    <definedName name="asiaPacificExJapan" localSheetId="7">#REF!</definedName>
    <definedName name="asiaPacificExJapan" localSheetId="2">#REF!</definedName>
    <definedName name="asiaPacificExJapan" localSheetId="6">#REF!</definedName>
    <definedName name="asiaPacificExJapan">#REF!</definedName>
    <definedName name="asiaPacificExJapanCountries" localSheetId="8">#REF!</definedName>
    <definedName name="asiaPacificExJapanCountries" localSheetId="7">#REF!</definedName>
    <definedName name="asiaPacificExJapanCountries" localSheetId="2">#REF!</definedName>
    <definedName name="asiaPacificExJapanCountries" localSheetId="6">#REF!</definedName>
    <definedName name="asiaPacificExJapanCountries">#REF!</definedName>
    <definedName name="asiaPacificRegion" localSheetId="8">#REF!</definedName>
    <definedName name="asiaPacificRegion" localSheetId="7">#REF!</definedName>
    <definedName name="asiaPacificRegion" localSheetId="2">#REF!</definedName>
    <definedName name="asiaPacificRegion" localSheetId="6">#REF!</definedName>
    <definedName name="asiaPacificRegion">#REF!</definedName>
    <definedName name="asiaPacificStates" localSheetId="8">#REF!</definedName>
    <definedName name="asiaPacificStates" localSheetId="7">#REF!</definedName>
    <definedName name="asiaPacificStates" localSheetId="2">#REF!</definedName>
    <definedName name="asiaPacificStates" localSheetId="6">#REF!</definedName>
    <definedName name="asiaPacificStates">#REF!</definedName>
    <definedName name="australasia" localSheetId="8">#REF!</definedName>
    <definedName name="australasia" localSheetId="7">#REF!</definedName>
    <definedName name="australasia" localSheetId="2">#REF!</definedName>
    <definedName name="australasia" localSheetId="6">#REF!</definedName>
    <definedName name="australasia">#REF!</definedName>
    <definedName name="BoxPlot">"BoxPlot"</definedName>
    <definedName name="BRICS" localSheetId="8">#REF!</definedName>
    <definedName name="BRICS" localSheetId="7">#REF!</definedName>
    <definedName name="BRICS" localSheetId="2">#REF!</definedName>
    <definedName name="BRICS" localSheetId="6">#REF!</definedName>
    <definedName name="BRICS">#REF!</definedName>
    <definedName name="BSMethod">2</definedName>
    <definedName name="Bubble">"Bubble"</definedName>
    <definedName name="Candlestick">"Candlestick"</definedName>
    <definedName name="cc_ReportCurrency">"HKD"</definedName>
    <definedName name="cc_ReportCurrencyUnit">"HK$"</definedName>
    <definedName name="cc_ReportCurrencyUnitFactor">1</definedName>
    <definedName name="centralEasternEurope" localSheetId="8">#REF!</definedName>
    <definedName name="centralEasternEurope" localSheetId="7">#REF!</definedName>
    <definedName name="centralEasternEurope" localSheetId="2">#REF!</definedName>
    <definedName name="centralEasternEurope" localSheetId="6">#REF!</definedName>
    <definedName name="centralEasternEurope">#REF!</definedName>
    <definedName name="centralEasternEuropeCountries" localSheetId="8">#REF!</definedName>
    <definedName name="centralEasternEuropeCountries" localSheetId="7">#REF!</definedName>
    <definedName name="centralEasternEuropeCountries" localSheetId="2">#REF!</definedName>
    <definedName name="centralEasternEuropeCountries" localSheetId="6">#REF!</definedName>
    <definedName name="centralEasternEuropeCountries">#REF!</definedName>
    <definedName name="Chart">"Chart"</definedName>
    <definedName name="CHART1">"Chart 2"</definedName>
    <definedName name="ChartImage">"ChartImage"</definedName>
    <definedName name="china" localSheetId="8">#REF!</definedName>
    <definedName name="china" localSheetId="7">#REF!</definedName>
    <definedName name="china" localSheetId="2">#REF!</definedName>
    <definedName name="china" localSheetId="6">#REF!</definedName>
    <definedName name="china">#REF!</definedName>
    <definedName name="Choices_Wrapper" localSheetId="8">'GB200 BoM'!Choices_Wrapper</definedName>
    <definedName name="Choices_Wrapper" localSheetId="7">'GB300 BoM'!Choices_Wrapper</definedName>
    <definedName name="Choices_Wrapper" localSheetId="2">#N/A</definedName>
    <definedName name="Choices_Wrapper" localSheetId="6">'VR200 BoM '!Choices_Wrapper</definedName>
    <definedName name="Choices_Wrapper">#N/A</definedName>
    <definedName name="Circ">Cover!$D$12</definedName>
    <definedName name="ColumnRange">"ColumnRange"</definedName>
    <definedName name="CommEquip_Charts" localSheetId="8">#REF!</definedName>
    <definedName name="CommEquip_Charts" localSheetId="7">#REF!</definedName>
    <definedName name="CommEquip_Charts" localSheetId="2">#REF!</definedName>
    <definedName name="CommEquip_Charts" localSheetId="6">#REF!</definedName>
    <definedName name="CommEquip_Charts">#REF!</definedName>
    <definedName name="CompRelated_Charts" localSheetId="8">'[2]Hardware Charts'!#REF!</definedName>
    <definedName name="CompRelated_Charts" localSheetId="7">'[2]Hardware Charts'!#REF!</definedName>
    <definedName name="CompRelated_Charts" localSheetId="2">#REF!</definedName>
    <definedName name="CompRelated_Charts" localSheetId="6">'[2]Hardware Charts'!#REF!</definedName>
    <definedName name="CompRelated_Charts">#REF!</definedName>
    <definedName name="consumerDemandExposure" localSheetId="8">#REF!</definedName>
    <definedName name="consumerDemandExposure" localSheetId="7">#REF!</definedName>
    <definedName name="consumerDemandExposure" localSheetId="2">#REF!</definedName>
    <definedName name="consumerDemandExposure" localSheetId="6">#REF!</definedName>
    <definedName name="consumerDemandExposure">#REF!</definedName>
    <definedName name="consumersExposure" localSheetId="8">#REF!</definedName>
    <definedName name="consumersExposure" localSheetId="7">#REF!</definedName>
    <definedName name="consumersExposure" localSheetId="2">#REF!</definedName>
    <definedName name="consumersExposure" localSheetId="6">#REF!</definedName>
    <definedName name="consumersExposure">#REF!</definedName>
    <definedName name="countryList" localSheetId="8">#REF!</definedName>
    <definedName name="countryList" localSheetId="7">#REF!</definedName>
    <definedName name="countryList" localSheetId="2">#REF!</definedName>
    <definedName name="countryList" localSheetId="6">#REF!</definedName>
    <definedName name="countryList">#REF!</definedName>
    <definedName name="datalength" localSheetId="8">COUNTA(#REF!)</definedName>
    <definedName name="datalength" localSheetId="7">COUNTA(#REF!)</definedName>
    <definedName name="datalength" localSheetId="2">COUNTA(#REF!)</definedName>
    <definedName name="datalength" localSheetId="6">COUNTA(#REF!)</definedName>
    <definedName name="datalength">COUNTA(#REF!)</definedName>
    <definedName name="dataseries4" localSheetId="2">OFFSET(#REF!,0,0,COUNTA(#REF!),1)</definedName>
    <definedName name="dataseries4">OFFSET(#REF!,0,0,COUNTA(#REF!),1)</definedName>
    <definedName name="DB">"WIREHKPROD"</definedName>
    <definedName name="developedEuropeExUK" localSheetId="8">#REF!</definedName>
    <definedName name="developedEuropeExUK" localSheetId="7">#REF!</definedName>
    <definedName name="developedEuropeExUK" localSheetId="2">#REF!</definedName>
    <definedName name="developedEuropeExUK" localSheetId="6">#REF!</definedName>
    <definedName name="developedEuropeExUK">#REF!</definedName>
    <definedName name="developedEuropeExUKCountries" localSheetId="8">#REF!</definedName>
    <definedName name="developedEuropeExUKCountries" localSheetId="7">#REF!</definedName>
    <definedName name="developedEuropeExUKCountries" localSheetId="2">#REF!</definedName>
    <definedName name="developedEuropeExUKCountries" localSheetId="6">#REF!</definedName>
    <definedName name="developedEuropeExUKCountries">#REF!</definedName>
    <definedName name="DEVELOPMENT">5</definedName>
    <definedName name="domesticAndForeignExposure" localSheetId="8">#REF!</definedName>
    <definedName name="domesticAndForeignExposure" localSheetId="7">#REF!</definedName>
    <definedName name="domesticAndForeignExposure" localSheetId="2">#REF!</definedName>
    <definedName name="domesticAndForeignExposure" localSheetId="6">#REF!</definedName>
    <definedName name="domesticAndForeignExposure">#REF!</definedName>
    <definedName name="domesticCostExposure" localSheetId="8">#REF!</definedName>
    <definedName name="domesticCostExposure" localSheetId="7">#REF!</definedName>
    <definedName name="domesticCostExposure" localSheetId="2">#REF!</definedName>
    <definedName name="domesticCostExposure" localSheetId="6">#REF!</definedName>
    <definedName name="domesticCostExposure">#REF!</definedName>
    <definedName name="Dumbbell">"Dumbbell"</definedName>
    <definedName name="EEMEA" localSheetId="8">#REF!</definedName>
    <definedName name="EEMEA" localSheetId="7">#REF!</definedName>
    <definedName name="EEMEA" localSheetId="2">#REF!</definedName>
    <definedName name="EEMEA" localSheetId="6">#REF!</definedName>
    <definedName name="EEMEA">#REF!</definedName>
    <definedName name="endDemandExposure" localSheetId="8">#REF!</definedName>
    <definedName name="endDemandExposure" localSheetId="7">#REF!</definedName>
    <definedName name="endDemandExposure" localSheetId="2">#REF!</definedName>
    <definedName name="endDemandExposure" localSheetId="6">#REF!</definedName>
    <definedName name="endDemandExposure">#REF!</definedName>
    <definedName name="europe" localSheetId="8">#REF!</definedName>
    <definedName name="europe" localSheetId="7">#REF!</definedName>
    <definedName name="europe" localSheetId="2">#REF!</definedName>
    <definedName name="europe" localSheetId="6">#REF!</definedName>
    <definedName name="europe">#REF!</definedName>
    <definedName name="europeRegion" localSheetId="8">#REF!</definedName>
    <definedName name="europeRegion" localSheetId="7">#REF!</definedName>
    <definedName name="europeRegion" localSheetId="2">#REF!</definedName>
    <definedName name="europeRegion" localSheetId="6">#REF!</definedName>
    <definedName name="europeRegion">#REF!</definedName>
    <definedName name="europeStates" localSheetId="8">#REF!</definedName>
    <definedName name="europeStates" localSheetId="7">#REF!</definedName>
    <definedName name="europeStates" localSheetId="2">#REF!</definedName>
    <definedName name="europeStates" localSheetId="6">#REF!</definedName>
    <definedName name="europeStates">#REF!</definedName>
    <definedName name="FR_CODE_COPY_LINK">" "</definedName>
    <definedName name="FR_CODE_DOWNLOAD_START">" "</definedName>
    <definedName name="FR_CODE_STOCK_LINK">" "</definedName>
    <definedName name="FR_COM_ABBR">"2313.TW"</definedName>
    <definedName name="FR_COM_AGG">0</definedName>
    <definedName name="FR_COU_ABBR">"twn"</definedName>
    <definedName name="FR_COU_NAME_LINK">" "</definedName>
    <definedName name="FR_DATABOX_DOWNLOAD">"N"</definedName>
    <definedName name="FR_DISP_HIDDEN">TRUE</definedName>
    <definedName name="FR_END_DATE">"'"</definedName>
    <definedName name="FR_LINKS_OVERRUN">TRUE</definedName>
    <definedName name="FR_LOG_END_DATE">"'"</definedName>
    <definedName name="FR_LOG_START_DATE">"'"</definedName>
    <definedName name="FR_PROTECT">"TRUE"</definedName>
    <definedName name="FR_RATIO_ABBR">"VDF_RATIO_BUNDLE"</definedName>
    <definedName name="FR_RATIO_COM_ABBR">"CWG.L"</definedName>
    <definedName name="FR_RATIO_COU_ABBR">"uk"</definedName>
    <definedName name="FR_RATIO_IGNORE_PROT_FLAG">TRUE</definedName>
    <definedName name="FR_RATIO_RECALC_FLAG">TRUE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definedName>
    <definedName name="FR_SYBASE_SERVER">"AUTO"</definedName>
    <definedName name="FR_TEMPLATE_KEY">"110898|1"</definedName>
    <definedName name="FR_USE_BILLIONS">FALSE</definedName>
    <definedName name="FR_USE_DIMFAC">TRUE</definedName>
    <definedName name="FR_USE_LOCAL_CCY">FALSE</definedName>
    <definedName name="FR_USE_PRICEFACTORING">FALSE</definedName>
    <definedName name="FR_USE_SCALE_FLAG">TRUE</definedName>
    <definedName name="Heatmap">"Heatmap"</definedName>
    <definedName name="Histogram">"Histogram"</definedName>
    <definedName name="india" localSheetId="8">#REF!</definedName>
    <definedName name="india" localSheetId="7">#REF!</definedName>
    <definedName name="india" localSheetId="2">#REF!</definedName>
    <definedName name="india" localSheetId="6">#REF!</definedName>
    <definedName name="india">#REF!</definedName>
    <definedName name="instructions" localSheetId="8">#REF!</definedName>
    <definedName name="instructions" localSheetId="7">#REF!</definedName>
    <definedName name="instructions" localSheetId="2">#REF!</definedName>
    <definedName name="instructions" localSheetId="6">#REF!</definedName>
    <definedName name="instructions">#REF!</definedName>
    <definedName name="ISMethod">1</definedName>
    <definedName name="italy" localSheetId="8">#REF!</definedName>
    <definedName name="italy" localSheetId="7">#REF!</definedName>
    <definedName name="italy" localSheetId="2">#REF!</definedName>
    <definedName name="italy" localSheetId="6">#REF!</definedName>
    <definedName name="italy">#REF!</definedName>
    <definedName name="japan" localSheetId="8">#REF!</definedName>
    <definedName name="japan" localSheetId="7">#REF!</definedName>
    <definedName name="japan" localSheetId="2">#REF!</definedName>
    <definedName name="japan" localSheetId="6">#REF!</definedName>
    <definedName name="japan">#REF!</definedName>
    <definedName name="latinAmerica" localSheetId="8">#REF!</definedName>
    <definedName name="latinAmerica" localSheetId="7">#REF!</definedName>
    <definedName name="latinAmerica" localSheetId="2">#REF!</definedName>
    <definedName name="latinAmerica" localSheetId="6">#REF!</definedName>
    <definedName name="latinAmerica">#REF!</definedName>
    <definedName name="latinAmericaCountries" localSheetId="8">#REF!</definedName>
    <definedName name="latinAmericaCountries" localSheetId="7">#REF!</definedName>
    <definedName name="latinAmericaCountries" localSheetId="2">#REF!</definedName>
    <definedName name="latinAmericaCountries" localSheetId="6">#REF!</definedName>
    <definedName name="latinAmericaCountries">#REF!</definedName>
    <definedName name="Linking_1" localSheetId="8">#REF!</definedName>
    <definedName name="Linking_1" localSheetId="7">#REF!</definedName>
    <definedName name="Linking_1" localSheetId="2">#REF!</definedName>
    <definedName name="Linking_1" localSheetId="6">#REF!</definedName>
    <definedName name="Linking_1">#REF!</definedName>
    <definedName name="Linking_10" localSheetId="8">#REF!</definedName>
    <definedName name="Linking_10" localSheetId="7">#REF!</definedName>
    <definedName name="Linking_10" localSheetId="2">#REF!</definedName>
    <definedName name="Linking_10" localSheetId="6">#REF!</definedName>
    <definedName name="Linking_10">#REF!</definedName>
    <definedName name="Linking_100" localSheetId="8">#REF!</definedName>
    <definedName name="Linking_100" localSheetId="7">#REF!</definedName>
    <definedName name="Linking_100" localSheetId="2">#REF!</definedName>
    <definedName name="Linking_100" localSheetId="6">#REF!</definedName>
    <definedName name="Linking_100">#REF!</definedName>
    <definedName name="Linking_101" localSheetId="8">#REF!</definedName>
    <definedName name="Linking_101" localSheetId="7">#REF!</definedName>
    <definedName name="Linking_101" localSheetId="2">#REF!</definedName>
    <definedName name="Linking_101" localSheetId="6">#REF!</definedName>
    <definedName name="Linking_101">#REF!</definedName>
    <definedName name="Linking_102" localSheetId="8">#REF!</definedName>
    <definedName name="Linking_102" localSheetId="7">#REF!</definedName>
    <definedName name="Linking_102" localSheetId="2">#REF!</definedName>
    <definedName name="Linking_102" localSheetId="6">#REF!</definedName>
    <definedName name="Linking_102">#REF!</definedName>
    <definedName name="Linking_103" localSheetId="8">#REF!</definedName>
    <definedName name="Linking_103" localSheetId="7">#REF!</definedName>
    <definedName name="Linking_103" localSheetId="2">#REF!</definedName>
    <definedName name="Linking_103" localSheetId="6">#REF!</definedName>
    <definedName name="Linking_103">#REF!</definedName>
    <definedName name="Linking_104" localSheetId="8">#REF!</definedName>
    <definedName name="Linking_104" localSheetId="7">#REF!</definedName>
    <definedName name="Linking_104" localSheetId="2">#REF!</definedName>
    <definedName name="Linking_104" localSheetId="6">#REF!</definedName>
    <definedName name="Linking_104">#REF!</definedName>
    <definedName name="Linking_105" localSheetId="8" xml:space="preserve">                                                  '[3]Supply chain &amp; Leadtime'!$T$38:$AF$55</definedName>
    <definedName name="Linking_105" localSheetId="7" xml:space="preserve">                                                  '[3]Supply chain &amp; Leadtime'!$T$38:$AF$55</definedName>
    <definedName name="Linking_105" localSheetId="2">#REF!</definedName>
    <definedName name="Linking_105" localSheetId="6" xml:space="preserve">                                                  '[3]Supply chain &amp; Leadtime'!$T$38:$AF$55</definedName>
    <definedName name="Linking_105">#REF!</definedName>
    <definedName name="Linking_106" localSheetId="8" xml:space="preserve">                                                                                                                                                                              '[3]Supply chain &amp; Leadtime'!$T$57:$AF$64</definedName>
    <definedName name="Linking_106" localSheetId="7" xml:space="preserve">                                                                                                                                                                              '[3]Supply chain &amp; Leadtime'!$T$57:$AF$64</definedName>
    <definedName name="Linking_106" localSheetId="2">#REF!</definedName>
    <definedName name="Linking_106" localSheetId="6" xml:space="preserve">                                                                                                                                                                              '[3]Supply chain &amp; Leadtime'!$T$57:$AF$64</definedName>
    <definedName name="Linking_106">#REF!</definedName>
    <definedName name="Linking_107" localSheetId="8" xml:space="preserve">                              '[3]Supply chain &amp; Leadtime'!$T$66:$AF$77</definedName>
    <definedName name="Linking_107" localSheetId="7" xml:space="preserve">                              '[3]Supply chain &amp; Leadtime'!$T$66:$AF$77</definedName>
    <definedName name="Linking_107" localSheetId="2">#REF!</definedName>
    <definedName name="Linking_107" localSheetId="6" xml:space="preserve">                              '[3]Supply chain &amp; Leadtime'!$T$66:$AF$77</definedName>
    <definedName name="Linking_107">#REF!</definedName>
    <definedName name="Linking_108" localSheetId="8" xml:space="preserve">                                                  '[3]Supply chain &amp; Leadtime'!$T$38:$AF$55</definedName>
    <definedName name="Linking_108" localSheetId="7" xml:space="preserve">                                                  '[3]Supply chain &amp; Leadtime'!$T$38:$AF$55</definedName>
    <definedName name="Linking_108" localSheetId="2">#REF!</definedName>
    <definedName name="Linking_108" localSheetId="6" xml:space="preserve">                                                  '[3]Supply chain &amp; Leadtime'!$T$38:$AF$55</definedName>
    <definedName name="Linking_108">#REF!</definedName>
    <definedName name="Linking_109" localSheetId="8" xml:space="preserve">                                                                                                              '[3]Supply chain &amp; Leadtime'!$T$57:$AF$64</definedName>
    <definedName name="Linking_109" localSheetId="7" xml:space="preserve">                                                                                                              '[3]Supply chain &amp; Leadtime'!$T$57:$AF$64</definedName>
    <definedName name="Linking_109" localSheetId="2">#REF!</definedName>
    <definedName name="Linking_109" localSheetId="6" xml:space="preserve">                                                                                                              '[3]Supply chain &amp; Leadtime'!$T$57:$AF$64</definedName>
    <definedName name="Linking_109">#REF!</definedName>
    <definedName name="Linking_11" localSheetId="8">#REF!</definedName>
    <definedName name="Linking_11" localSheetId="7">#REF!</definedName>
    <definedName name="Linking_11" localSheetId="2">#REF!</definedName>
    <definedName name="Linking_11" localSheetId="6">#REF!</definedName>
    <definedName name="Linking_11">#REF!</definedName>
    <definedName name="Linking_110" localSheetId="8" xml:space="preserve">                                                                                                                                                                                                                                                          '[3]Supply chain &amp; Leadtime'!$T$66:$AF$77</definedName>
    <definedName name="Linking_110" localSheetId="7" xml:space="preserve">                                                                                                                                                                                                                                                          '[3]Supply chain &amp; Leadtime'!$T$66:$AF$77</definedName>
    <definedName name="Linking_110" localSheetId="2">#REF!</definedName>
    <definedName name="Linking_110" localSheetId="6" xml:space="preserve">                                                                                                                                                                                                                                                          '[3]Supply chain &amp; Leadtime'!$T$66:$AF$77</definedName>
    <definedName name="Linking_110">#REF!</definedName>
    <definedName name="Linking_111" localSheetId="8" xml:space="preserve">                                                                                                                                  '[3]Supply chain &amp; Leadtime'!$T$66:$AF$77</definedName>
    <definedName name="Linking_111" localSheetId="7" xml:space="preserve">                                                                                                                                  '[3]Supply chain &amp; Leadtime'!$T$66:$AF$77</definedName>
    <definedName name="Linking_111" localSheetId="2">#REF!</definedName>
    <definedName name="Linking_111" localSheetId="6" xml:space="preserve">                                                                                                                                  '[3]Supply chain &amp; Leadtime'!$T$66:$AF$77</definedName>
    <definedName name="Linking_111">#REF!</definedName>
    <definedName name="Linking_112" localSheetId="8" xml:space="preserve">                                                  '[3]Supply chain &amp; Leadtime'!$T$65:$AF$77</definedName>
    <definedName name="Linking_112" localSheetId="7" xml:space="preserve">                                                  '[3]Supply chain &amp; Leadtime'!$T$65:$AF$77</definedName>
    <definedName name="Linking_112" localSheetId="2">#REF!</definedName>
    <definedName name="Linking_112" localSheetId="6" xml:space="preserve">                                                  '[3]Supply chain &amp; Leadtime'!$T$65:$AF$77</definedName>
    <definedName name="Linking_112">#REF!</definedName>
    <definedName name="Linking_113" localSheetId="8" xml:space="preserve">                                                  '[3]ODM share analysis'!$B$2:$F$27</definedName>
    <definedName name="Linking_113" localSheetId="7" xml:space="preserve">                                                  '[3]ODM share analysis'!$B$2:$F$27</definedName>
    <definedName name="Linking_113" localSheetId="2">#REF!</definedName>
    <definedName name="Linking_113" localSheetId="6" xml:space="preserve">                                                  '[3]ODM share analysis'!$B$2:$F$27</definedName>
    <definedName name="Linking_113">#REF!</definedName>
    <definedName name="Linking_114" localSheetId="8" xml:space="preserve">                                                                                                  '[3]Supply chain &amp; Leadtime'!$A$2:$Q$36</definedName>
    <definedName name="Linking_114" localSheetId="7" xml:space="preserve">                                                                                                  '[3]Supply chain &amp; Leadtime'!$A$2:$Q$36</definedName>
    <definedName name="Linking_114" localSheetId="2">#REF!</definedName>
    <definedName name="Linking_114" localSheetId="6" xml:space="preserve">                                                                                                  '[3]Supply chain &amp; Leadtime'!$A$2:$Q$36</definedName>
    <definedName name="Linking_114">#REF!</definedName>
    <definedName name="Linking_115" localSheetId="8" xml:space="preserve">                                                  '[3]Supply chain &amp; Leadtime'!$T$57:$AG$64</definedName>
    <definedName name="Linking_115" localSheetId="7" xml:space="preserve">                                                  '[3]Supply chain &amp; Leadtime'!$T$57:$AG$64</definedName>
    <definedName name="Linking_115" localSheetId="2">#REF!</definedName>
    <definedName name="Linking_115" localSheetId="6" xml:space="preserve">                                                  '[3]Supply chain &amp; Leadtime'!$T$57:$AG$64</definedName>
    <definedName name="Linking_115">#REF!</definedName>
    <definedName name="Linking_116" localSheetId="8" xml:space="preserve">                                                  '[3]Supply chain &amp; Leadtime'!$AL$79:$AP$87</definedName>
    <definedName name="Linking_116" localSheetId="7" xml:space="preserve">                                                  '[3]Supply chain &amp; Leadtime'!$AL$79:$AP$87</definedName>
    <definedName name="Linking_116" localSheetId="2">#REF!</definedName>
    <definedName name="Linking_116" localSheetId="6" xml:space="preserve">                                                  '[3]Supply chain &amp; Leadtime'!$AL$79:$AP$87</definedName>
    <definedName name="Linking_116">#REF!</definedName>
    <definedName name="Linking_117" localSheetId="8" xml:space="preserve">                                            '[3]Supply chain &amp; Leadtime'!$A$2:$Q$36</definedName>
    <definedName name="Linking_117" localSheetId="7" xml:space="preserve">                                            '[3]Supply chain &amp; Leadtime'!$A$2:$Q$36</definedName>
    <definedName name="Linking_117" localSheetId="2">#REF!</definedName>
    <definedName name="Linking_117" localSheetId="6" xml:space="preserve">                                            '[3]Supply chain &amp; Leadtime'!$A$2:$Q$36</definedName>
    <definedName name="Linking_117">#REF!</definedName>
    <definedName name="Linking_118" localSheetId="8" xml:space="preserve">                                                                                                                      '[4]Supply chain &amp; Leadtime'!$T$38:$AH$77</definedName>
    <definedName name="Linking_118" localSheetId="7" xml:space="preserve">                                                                                                                      '[4]Supply chain &amp; Leadtime'!$T$38:$AH$77</definedName>
    <definedName name="Linking_118" localSheetId="2">#REF!</definedName>
    <definedName name="Linking_118" localSheetId="6" xml:space="preserve">                                                                                                                      '[4]Supply chain &amp; Leadtime'!$T$38:$AH$77</definedName>
    <definedName name="Linking_118">#REF!</definedName>
    <definedName name="Linking_119" localSheetId="8" xml:space="preserve">                                                                                                                                                                                                                              '[4]ODM share analysis'!$B$2:$G$27</definedName>
    <definedName name="Linking_119" localSheetId="7" xml:space="preserve">                                                                                                                                                                                                                              '[4]ODM share analysis'!$B$2:$G$27</definedName>
    <definedName name="Linking_119" localSheetId="2">#REF!</definedName>
    <definedName name="Linking_119" localSheetId="6" xml:space="preserve">                                                                                                                                                                                                                              '[4]ODM share analysis'!$B$2:$G$27</definedName>
    <definedName name="Linking_119">#REF!</definedName>
    <definedName name="Linking_12" localSheetId="8">#REF!</definedName>
    <definedName name="Linking_12" localSheetId="7">#REF!</definedName>
    <definedName name="Linking_12" localSheetId="2">#REF!</definedName>
    <definedName name="Linking_12" localSheetId="6">#REF!</definedName>
    <definedName name="Linking_12">#REF!</definedName>
    <definedName name="Linking_120" localSheetId="8" xml:space="preserve">                                                                                                                                                                                                                  '[4]ODM share analysis'!$B$2:$G$27</definedName>
    <definedName name="Linking_120" localSheetId="7" xml:space="preserve">                                                                                                                                                                                                                  '[4]ODM share analysis'!$B$2:$G$27</definedName>
    <definedName name="Linking_120" localSheetId="2">#REF!</definedName>
    <definedName name="Linking_120" localSheetId="6" xml:space="preserve">                                                                                                                                                                                                                  '[4]ODM share analysis'!$B$2:$G$27</definedName>
    <definedName name="Linking_120">#REF!</definedName>
    <definedName name="Linking_121" localSheetId="8" xml:space="preserve">                                                                                                                                                          '[4]ODM share analysis'!$B$2:$G$27</definedName>
    <definedName name="Linking_121" localSheetId="7" xml:space="preserve">                                                                                                                                                          '[4]ODM share analysis'!$B$2:$G$27</definedName>
    <definedName name="Linking_121" localSheetId="2">#REF!</definedName>
    <definedName name="Linking_121" localSheetId="6" xml:space="preserve">                                                                                                                                                          '[4]ODM share analysis'!$B$2:$G$27</definedName>
    <definedName name="Linking_121">#REF!</definedName>
    <definedName name="Linking_122" localSheetId="2">#REF!</definedName>
    <definedName name="Linking_122">#REF!</definedName>
    <definedName name="Linking_123" localSheetId="2">#REF!</definedName>
    <definedName name="Linking_123">#REF!</definedName>
    <definedName name="Linking_124">#REF!</definedName>
    <definedName name="Linking_125">#REF!</definedName>
    <definedName name="Linking_126">#REF!</definedName>
    <definedName name="Linking_127">#REF!</definedName>
    <definedName name="Linking_128">#REF!</definedName>
    <definedName name="Linking_129" xml:space="preserve">                                 'NVL72 BoM Comparison'!$B$4:$G$17</definedName>
    <definedName name="Linking_13" localSheetId="8">#REF!</definedName>
    <definedName name="Linking_13" localSheetId="7">#REF!</definedName>
    <definedName name="Linking_13" localSheetId="2">#REF!</definedName>
    <definedName name="Linking_13" localSheetId="6">#REF!</definedName>
    <definedName name="Linking_13">#REF!</definedName>
    <definedName name="Linking_130" xml:space="preserve">                                                               'NVL72 BoM Comparison'!$X$19:$AA$40</definedName>
    <definedName name="Linking_131" xml:space="preserve">                                                                                                                                                                                               'NVL72 BoM Comparison'!$X$43:$AA$61</definedName>
    <definedName name="Linking_132" xml:space="preserve">                                         'NVL72 BoM Comparison'!$X$64:$AA$82</definedName>
    <definedName name="Linking_133" xml:space="preserve">                                                                                                                                                               'NVL72 BoM Comparison'!$B$36:$E$42</definedName>
    <definedName name="Linking_14" localSheetId="0">#REF!</definedName>
    <definedName name="Linking_14" localSheetId="8">#REF!</definedName>
    <definedName name="Linking_14" localSheetId="7">#REF!</definedName>
    <definedName name="Linking_14" localSheetId="2">#REF!</definedName>
    <definedName name="Linking_14" localSheetId="6">#REF!</definedName>
    <definedName name="Linking_14">#REF!</definedName>
    <definedName name="Linking_15" localSheetId="0">#REF!</definedName>
    <definedName name="Linking_15" localSheetId="8">#REF!</definedName>
    <definedName name="Linking_15" localSheetId="7">#REF!</definedName>
    <definedName name="Linking_15" localSheetId="2">#REF!</definedName>
    <definedName name="Linking_15" localSheetId="6">#REF!</definedName>
    <definedName name="Linking_15">#REF!</definedName>
    <definedName name="Linking_16" localSheetId="8">#REF!</definedName>
    <definedName name="Linking_16" localSheetId="7">#REF!</definedName>
    <definedName name="Linking_16" localSheetId="2">#REF!</definedName>
    <definedName name="Linking_16" localSheetId="6">#REF!</definedName>
    <definedName name="Linking_16">#REF!</definedName>
    <definedName name="Linking_17" localSheetId="8">#REF!</definedName>
    <definedName name="Linking_17" localSheetId="7">#REF!</definedName>
    <definedName name="Linking_17" localSheetId="2">#REF!</definedName>
    <definedName name="Linking_17" localSheetId="6">#REF!</definedName>
    <definedName name="Linking_17">#REF!</definedName>
    <definedName name="Linking_18" localSheetId="8">#REF!</definedName>
    <definedName name="Linking_18" localSheetId="7">#REF!</definedName>
    <definedName name="Linking_18" localSheetId="2">#REF!</definedName>
    <definedName name="Linking_18" localSheetId="6">#REF!</definedName>
    <definedName name="Linking_18">#REF!</definedName>
    <definedName name="Linking_19" localSheetId="8">#REF!</definedName>
    <definedName name="Linking_19" localSheetId="7">#REF!</definedName>
    <definedName name="Linking_19" localSheetId="2">#REF!</definedName>
    <definedName name="Linking_19" localSheetId="6">#REF!</definedName>
    <definedName name="Linking_19">#REF!</definedName>
    <definedName name="Linking_2" localSheetId="0">#REF!</definedName>
    <definedName name="Linking_2" localSheetId="8">#REF!</definedName>
    <definedName name="Linking_2" localSheetId="7">#REF!</definedName>
    <definedName name="Linking_2" localSheetId="2">#REF!</definedName>
    <definedName name="Linking_2" localSheetId="6">#REF!</definedName>
    <definedName name="Linking_2">#REF!</definedName>
    <definedName name="Linking_20" localSheetId="8">#REF!</definedName>
    <definedName name="Linking_20" localSheetId="7">#REF!</definedName>
    <definedName name="Linking_20" localSheetId="2">#REF!</definedName>
    <definedName name="Linking_20" localSheetId="6">#REF!</definedName>
    <definedName name="Linking_20">#REF!</definedName>
    <definedName name="Linking_21" localSheetId="8">#REF!</definedName>
    <definedName name="Linking_21" localSheetId="7">#REF!</definedName>
    <definedName name="Linking_21" localSheetId="2">#REF!</definedName>
    <definedName name="Linking_21" localSheetId="6">#REF!</definedName>
    <definedName name="Linking_21">#REF!</definedName>
    <definedName name="Linking_22" localSheetId="8">#REF!</definedName>
    <definedName name="Linking_22" localSheetId="7">#REF!</definedName>
    <definedName name="Linking_22" localSheetId="2">#REF!</definedName>
    <definedName name="Linking_22" localSheetId="6">#REF!</definedName>
    <definedName name="Linking_22">#REF!</definedName>
    <definedName name="Linking_23" localSheetId="8">#REF!</definedName>
    <definedName name="Linking_23" localSheetId="7">#REF!</definedName>
    <definedName name="Linking_23" localSheetId="2">#REF!</definedName>
    <definedName name="Linking_23" localSheetId="6">#REF!</definedName>
    <definedName name="Linking_23">#REF!</definedName>
    <definedName name="Linking_24" localSheetId="8">#REF!</definedName>
    <definedName name="Linking_24" localSheetId="7">#REF!</definedName>
    <definedName name="Linking_24" localSheetId="2">#REF!</definedName>
    <definedName name="Linking_24" localSheetId="6">#REF!</definedName>
    <definedName name="Linking_24">#REF!</definedName>
    <definedName name="Linking_25" localSheetId="8">#REF!</definedName>
    <definedName name="Linking_25" localSheetId="7">#REF!</definedName>
    <definedName name="Linking_25" localSheetId="2">#REF!</definedName>
    <definedName name="Linking_25" localSheetId="6">#REF!</definedName>
    <definedName name="Linking_25">#REF!</definedName>
    <definedName name="Linking_26" localSheetId="8">#REF!</definedName>
    <definedName name="Linking_26" localSheetId="7">#REF!</definedName>
    <definedName name="Linking_26" localSheetId="2">#REF!</definedName>
    <definedName name="Linking_26" localSheetId="6">#REF!</definedName>
    <definedName name="Linking_26">#REF!</definedName>
    <definedName name="Linking_27" localSheetId="8">#REF!</definedName>
    <definedName name="Linking_27" localSheetId="7">#REF!</definedName>
    <definedName name="Linking_27" localSheetId="2">#REF!</definedName>
    <definedName name="Linking_27" localSheetId="6">#REF!</definedName>
    <definedName name="Linking_27">#REF!</definedName>
    <definedName name="Linking_28" localSheetId="0">#REF!</definedName>
    <definedName name="Linking_28" localSheetId="8">#REF!</definedName>
    <definedName name="Linking_28" localSheetId="7">#REF!</definedName>
    <definedName name="Linking_28" localSheetId="2">#REF!</definedName>
    <definedName name="Linking_28" localSheetId="6">#REF!</definedName>
    <definedName name="Linking_28">#REF!</definedName>
    <definedName name="Linking_29" localSheetId="0">#REF!</definedName>
    <definedName name="Linking_29" localSheetId="8">#REF!</definedName>
    <definedName name="Linking_29" localSheetId="7">#REF!</definedName>
    <definedName name="Linking_29" localSheetId="2">#REF!</definedName>
    <definedName name="Linking_29" localSheetId="6">#REF!</definedName>
    <definedName name="Linking_29">#REF!</definedName>
    <definedName name="Linking_3" localSheetId="0">#REF!</definedName>
    <definedName name="Linking_3" localSheetId="8">#REF!</definedName>
    <definedName name="Linking_3" localSheetId="7">#REF!</definedName>
    <definedName name="Linking_3" localSheetId="2">#REF!</definedName>
    <definedName name="Linking_3" localSheetId="6">#REF!</definedName>
    <definedName name="Linking_3">#REF!</definedName>
    <definedName name="Linking_30" localSheetId="8">#REF!</definedName>
    <definedName name="Linking_30" localSheetId="7">#REF!</definedName>
    <definedName name="Linking_30" localSheetId="2">#REF!</definedName>
    <definedName name="Linking_30" localSheetId="6">#REF!</definedName>
    <definedName name="Linking_30">#REF!</definedName>
    <definedName name="Linking_31" localSheetId="0">#REF!</definedName>
    <definedName name="Linking_31" localSheetId="8">#REF!</definedName>
    <definedName name="Linking_31" localSheetId="7">#REF!</definedName>
    <definedName name="Linking_31" localSheetId="2">#REF!</definedName>
    <definedName name="Linking_31" localSheetId="6">#REF!</definedName>
    <definedName name="Linking_31">#REF!</definedName>
    <definedName name="Linking_32" localSheetId="8">#REF!</definedName>
    <definedName name="Linking_32" localSheetId="7">#REF!</definedName>
    <definedName name="Linking_32" localSheetId="2">#REF!</definedName>
    <definedName name="Linking_32" localSheetId="6">#REF!</definedName>
    <definedName name="Linking_32">#REF!</definedName>
    <definedName name="Linking_33" localSheetId="0">#REF!</definedName>
    <definedName name="Linking_33" localSheetId="8">#REF!</definedName>
    <definedName name="Linking_33" localSheetId="7">#REF!</definedName>
    <definedName name="Linking_33" localSheetId="2">#REF!</definedName>
    <definedName name="Linking_33" localSheetId="6">#REF!</definedName>
    <definedName name="Linking_33">#REF!</definedName>
    <definedName name="Linking_34" localSheetId="8">#REF!</definedName>
    <definedName name="Linking_34" localSheetId="7">#REF!</definedName>
    <definedName name="Linking_34" localSheetId="2">#REF!</definedName>
    <definedName name="Linking_34" localSheetId="6">#REF!</definedName>
    <definedName name="Linking_34">#REF!</definedName>
    <definedName name="Linking_35" localSheetId="8">#REF!</definedName>
    <definedName name="Linking_35" localSheetId="7">#REF!</definedName>
    <definedName name="Linking_35" localSheetId="2">#REF!</definedName>
    <definedName name="Linking_35" localSheetId="6">#REF!</definedName>
    <definedName name="Linking_35">#REF!</definedName>
    <definedName name="Linking_36" localSheetId="8">#REF!</definedName>
    <definedName name="Linking_36" localSheetId="7">#REF!</definedName>
    <definedName name="Linking_36" localSheetId="2">#REF!</definedName>
    <definedName name="Linking_36" localSheetId="6">#REF!</definedName>
    <definedName name="Linking_36">#REF!</definedName>
    <definedName name="Linking_37" localSheetId="0">#REF!</definedName>
    <definedName name="Linking_37" localSheetId="8">#REF!</definedName>
    <definedName name="Linking_37" localSheetId="7">#REF!</definedName>
    <definedName name="Linking_37" localSheetId="2">#REF!</definedName>
    <definedName name="Linking_37" localSheetId="6">#REF!</definedName>
    <definedName name="Linking_37">#REF!</definedName>
    <definedName name="Linking_38" localSheetId="8">#REF!</definedName>
    <definedName name="Linking_38" localSheetId="7">#REF!</definedName>
    <definedName name="Linking_38" localSheetId="2">#REF!</definedName>
    <definedName name="Linking_38" localSheetId="6">#REF!</definedName>
    <definedName name="Linking_38">#REF!</definedName>
    <definedName name="Linking_39" localSheetId="8">#REF!</definedName>
    <definedName name="Linking_39" localSheetId="7">#REF!</definedName>
    <definedName name="Linking_39" localSheetId="2">#REF!</definedName>
    <definedName name="Linking_39" localSheetId="6">#REF!</definedName>
    <definedName name="Linking_39">#REF!</definedName>
    <definedName name="Linking_4" localSheetId="8">'GB200 BoM'!$B$3:$M$75</definedName>
    <definedName name="Linking_4" localSheetId="7">'GB300 BoM'!$B$3:$M$47</definedName>
    <definedName name="Linking_4" localSheetId="2">#REF!</definedName>
    <definedName name="Linking_4" localSheetId="6">'VR200 BoM '!$B$3:$M$47</definedName>
    <definedName name="Linking_4">#REF!</definedName>
    <definedName name="Linking_40" localSheetId="0">#REF!</definedName>
    <definedName name="Linking_40" localSheetId="8">#REF!</definedName>
    <definedName name="Linking_40" localSheetId="7">#REF!</definedName>
    <definedName name="Linking_40" localSheetId="2">#REF!</definedName>
    <definedName name="Linking_40" localSheetId="6">#REF!</definedName>
    <definedName name="Linking_40">#REF!</definedName>
    <definedName name="Linking_41" localSheetId="0">#REF!</definedName>
    <definedName name="Linking_41" localSheetId="8">#REF!</definedName>
    <definedName name="Linking_41" localSheetId="7">#REF!</definedName>
    <definedName name="Linking_41" localSheetId="2">#REF!</definedName>
    <definedName name="Linking_41" localSheetId="6">#REF!</definedName>
    <definedName name="Linking_41">#REF!</definedName>
    <definedName name="Linking_42" localSheetId="0">#REF!</definedName>
    <definedName name="Linking_42" localSheetId="8">#REF!</definedName>
    <definedName name="Linking_42" localSheetId="7">#REF!</definedName>
    <definedName name="Linking_42" localSheetId="2">#REF!</definedName>
    <definedName name="Linking_42" localSheetId="6">#REF!</definedName>
    <definedName name="Linking_42">#REF!</definedName>
    <definedName name="Linking_43" localSheetId="8">#REF!</definedName>
    <definedName name="Linking_43" localSheetId="7">#REF!</definedName>
    <definedName name="Linking_43" localSheetId="2">#REF!</definedName>
    <definedName name="Linking_43" localSheetId="6">#REF!</definedName>
    <definedName name="Linking_43">#REF!</definedName>
    <definedName name="Linking_44" localSheetId="8">#REF!</definedName>
    <definedName name="Linking_44" localSheetId="7">#REF!</definedName>
    <definedName name="Linking_44" localSheetId="2">#REF!</definedName>
    <definedName name="Linking_44" localSheetId="6">#REF!</definedName>
    <definedName name="Linking_44">#REF!</definedName>
    <definedName name="Linking_45" localSheetId="8">#REF!</definedName>
    <definedName name="Linking_45" localSheetId="7">#REF!</definedName>
    <definedName name="Linking_45" localSheetId="2">#REF!</definedName>
    <definedName name="Linking_45" localSheetId="6">#REF!</definedName>
    <definedName name="Linking_45">#REF!</definedName>
    <definedName name="Linking_46" localSheetId="8">#REF!</definedName>
    <definedName name="Linking_46" localSheetId="7">#REF!</definedName>
    <definedName name="Linking_46" localSheetId="2">#REF!</definedName>
    <definedName name="Linking_46" localSheetId="6">#REF!</definedName>
    <definedName name="Linking_46">#REF!</definedName>
    <definedName name="Linking_47" localSheetId="8">#REF!</definedName>
    <definedName name="Linking_47" localSheetId="7">#REF!</definedName>
    <definedName name="Linking_47" localSheetId="2">#REF!</definedName>
    <definedName name="Linking_47" localSheetId="6">#REF!</definedName>
    <definedName name="Linking_47">#REF!</definedName>
    <definedName name="Linking_48" localSheetId="8">#REF!</definedName>
    <definedName name="Linking_48" localSheetId="7">#REF!</definedName>
    <definedName name="Linking_48" localSheetId="2">#REF!</definedName>
    <definedName name="Linking_48" localSheetId="6">#REF!</definedName>
    <definedName name="Linking_48">#REF!</definedName>
    <definedName name="Linking_49" localSheetId="8">#REF!</definedName>
    <definedName name="Linking_49" localSheetId="7">#REF!</definedName>
    <definedName name="Linking_49" localSheetId="2">#REF!</definedName>
    <definedName name="Linking_49" localSheetId="6">#REF!</definedName>
    <definedName name="Linking_49">#REF!</definedName>
    <definedName name="Linking_5" localSheetId="8">'GB200 BoM'!$B$3:$I$47</definedName>
    <definedName name="Linking_5" localSheetId="7">'GB300 BoM'!$B$3:$I$47</definedName>
    <definedName name="Linking_5" localSheetId="2">#REF!</definedName>
    <definedName name="Linking_5" localSheetId="6">'VR200 BoM '!$B$3:$I$47</definedName>
    <definedName name="Linking_5">#REF!</definedName>
    <definedName name="Linking_50" localSheetId="8">#REF!</definedName>
    <definedName name="Linking_50" localSheetId="7">#REF!</definedName>
    <definedName name="Linking_50" localSheetId="2">#REF!</definedName>
    <definedName name="Linking_50" localSheetId="6">#REF!</definedName>
    <definedName name="Linking_50">#REF!</definedName>
    <definedName name="Linking_51" localSheetId="8">#REF!</definedName>
    <definedName name="Linking_51" localSheetId="7">#REF!</definedName>
    <definedName name="Linking_51" localSheetId="2">#REF!</definedName>
    <definedName name="Linking_51" localSheetId="6">#REF!</definedName>
    <definedName name="Linking_51">#REF!</definedName>
    <definedName name="Linking_52" localSheetId="8">#REF!</definedName>
    <definedName name="Linking_52" localSheetId="7">#REF!</definedName>
    <definedName name="Linking_52" localSheetId="2">#REF!</definedName>
    <definedName name="Linking_52" localSheetId="6">#REF!</definedName>
    <definedName name="Linking_52">#REF!</definedName>
    <definedName name="Linking_53" localSheetId="8">#REF!</definedName>
    <definedName name="Linking_53" localSheetId="7">#REF!</definedName>
    <definedName name="Linking_53" localSheetId="2">#REF!</definedName>
    <definedName name="Linking_53" localSheetId="6">#REF!</definedName>
    <definedName name="Linking_53">#REF!</definedName>
    <definedName name="Linking_54" localSheetId="8">#REF!</definedName>
    <definedName name="Linking_54" localSheetId="7">#REF!</definedName>
    <definedName name="Linking_54" localSheetId="2">#REF!</definedName>
    <definedName name="Linking_54" localSheetId="6">#REF!</definedName>
    <definedName name="Linking_54">#REF!</definedName>
    <definedName name="Linking_55" localSheetId="8">#REF!</definedName>
    <definedName name="Linking_55" localSheetId="7">#REF!</definedName>
    <definedName name="Linking_55" localSheetId="2">#REF!</definedName>
    <definedName name="Linking_55" localSheetId="6">#REF!</definedName>
    <definedName name="Linking_55">#REF!</definedName>
    <definedName name="Linking_56" localSheetId="0">#REF!</definedName>
    <definedName name="Linking_56" localSheetId="8">#REF!</definedName>
    <definedName name="Linking_56" localSheetId="7">#REF!</definedName>
    <definedName name="Linking_56" localSheetId="2">#REF!</definedName>
    <definedName name="Linking_56" localSheetId="6">#REF!</definedName>
    <definedName name="Linking_56">#REF!</definedName>
    <definedName name="Linking_57" localSheetId="0">#REF!</definedName>
    <definedName name="Linking_57" localSheetId="8">#REF!</definedName>
    <definedName name="Linking_57" localSheetId="7">#REF!</definedName>
    <definedName name="Linking_57" localSheetId="2">#REF!</definedName>
    <definedName name="Linking_57" localSheetId="6">#REF!</definedName>
    <definedName name="Linking_57">#REF!</definedName>
    <definedName name="Linking_58" localSheetId="0">#REF!</definedName>
    <definedName name="Linking_58" localSheetId="8">#REF!</definedName>
    <definedName name="Linking_58" localSheetId="7">#REF!</definedName>
    <definedName name="Linking_58" localSheetId="2">#REF!</definedName>
    <definedName name="Linking_58" localSheetId="6">#REF!</definedName>
    <definedName name="Linking_58">#REF!</definedName>
    <definedName name="Linking_59" localSheetId="0">#REF!</definedName>
    <definedName name="Linking_59" localSheetId="8">#REF!</definedName>
    <definedName name="Linking_59" localSheetId="7">#REF!</definedName>
    <definedName name="Linking_59" localSheetId="2">#REF!</definedName>
    <definedName name="Linking_59" localSheetId="6">#REF!</definedName>
    <definedName name="Linking_59">#REF!</definedName>
    <definedName name="Linking_6" localSheetId="8" xml:space="preserve">                                                            'GB200 BoM'!$B$3:$C$28</definedName>
    <definedName name="Linking_6" localSheetId="7" xml:space="preserve">                                                            'GB300 BoM'!$B$3:$C$28</definedName>
    <definedName name="Linking_6" localSheetId="2">#REF!</definedName>
    <definedName name="Linking_6" localSheetId="6" xml:space="preserve">                                                            'VR200 BoM '!$B$3:$C$30</definedName>
    <definedName name="Linking_6">#REF!</definedName>
    <definedName name="Linking_60" localSheetId="8">#REF!</definedName>
    <definedName name="Linking_60" localSheetId="7">#REF!</definedName>
    <definedName name="Linking_60" localSheetId="2">#REF!</definedName>
    <definedName name="Linking_60" localSheetId="6">#REF!</definedName>
    <definedName name="Linking_60">#REF!</definedName>
    <definedName name="Linking_61" localSheetId="8">#REF!</definedName>
    <definedName name="Linking_61" localSheetId="7">#REF!</definedName>
    <definedName name="Linking_61" localSheetId="2">#REF!</definedName>
    <definedName name="Linking_61" localSheetId="6">#REF!</definedName>
    <definedName name="Linking_61">#REF!</definedName>
    <definedName name="Linking_62" localSheetId="8">#REF!</definedName>
    <definedName name="Linking_62" localSheetId="7">#REF!</definedName>
    <definedName name="Linking_62" localSheetId="2">#REF!</definedName>
    <definedName name="Linking_62" localSheetId="6">#REF!</definedName>
    <definedName name="Linking_62">#REF!</definedName>
    <definedName name="Linking_63" localSheetId="0">#REF!</definedName>
    <definedName name="Linking_63" localSheetId="8">#REF!</definedName>
    <definedName name="Linking_63" localSheetId="7">#REF!</definedName>
    <definedName name="Linking_63" localSheetId="2">#REF!</definedName>
    <definedName name="Linking_63" localSheetId="6">#REF!</definedName>
    <definedName name="Linking_63">#REF!</definedName>
    <definedName name="Linking_64" localSheetId="8">#REF!</definedName>
    <definedName name="Linking_64" localSheetId="7">#REF!</definedName>
    <definedName name="Linking_64" localSheetId="2">#REF!</definedName>
    <definedName name="Linking_64" localSheetId="6">#REF!</definedName>
    <definedName name="Linking_64">#REF!</definedName>
    <definedName name="Linking_65" localSheetId="8">#REF!</definedName>
    <definedName name="Linking_65" localSheetId="7">#REF!</definedName>
    <definedName name="Linking_65" localSheetId="2">#REF!</definedName>
    <definedName name="Linking_65" localSheetId="6">#REF!</definedName>
    <definedName name="Linking_65">#REF!</definedName>
    <definedName name="Linking_66" localSheetId="8">#REF!</definedName>
    <definedName name="Linking_66" localSheetId="7">#REF!</definedName>
    <definedName name="Linking_66" localSheetId="2">#REF!</definedName>
    <definedName name="Linking_66" localSheetId="6">#REF!</definedName>
    <definedName name="Linking_66">#REF!</definedName>
    <definedName name="Linking_67" localSheetId="8">#REF!</definedName>
    <definedName name="Linking_67" localSheetId="7">#REF!</definedName>
    <definedName name="Linking_67" localSheetId="2">#REF!</definedName>
    <definedName name="Linking_67" localSheetId="6">#REF!</definedName>
    <definedName name="Linking_67">#REF!</definedName>
    <definedName name="Linking_68" localSheetId="8">#REF!</definedName>
    <definedName name="Linking_68" localSheetId="7">#REF!</definedName>
    <definedName name="Linking_68" localSheetId="2">#REF!</definedName>
    <definedName name="Linking_68" localSheetId="6">#REF!</definedName>
    <definedName name="Linking_68">#REF!</definedName>
    <definedName name="Linking_69" localSheetId="8">#REF!</definedName>
    <definedName name="Linking_69" localSheetId="7">#REF!</definedName>
    <definedName name="Linking_69" localSheetId="2">#REF!</definedName>
    <definedName name="Linking_69" localSheetId="6">#REF!</definedName>
    <definedName name="Linking_69">#REF!</definedName>
    <definedName name="Linking_7" localSheetId="2">#REF!</definedName>
    <definedName name="Linking_7">#REF!</definedName>
    <definedName name="Linking_70" localSheetId="8">#REF!</definedName>
    <definedName name="Linking_70" localSheetId="7">#REF!</definedName>
    <definedName name="Linking_70" localSheetId="2">#REF!</definedName>
    <definedName name="Linking_70" localSheetId="6">#REF!</definedName>
    <definedName name="Linking_70">#REF!</definedName>
    <definedName name="Linking_71" localSheetId="8">#REF!</definedName>
    <definedName name="Linking_71" localSheetId="7">#REF!</definedName>
    <definedName name="Linking_71" localSheetId="2">#REF!</definedName>
    <definedName name="Linking_71" localSheetId="6">#REF!</definedName>
    <definedName name="Linking_71">#REF!</definedName>
    <definedName name="Linking_72" localSheetId="8">#REF!</definedName>
    <definedName name="Linking_72" localSheetId="7">#REF!</definedName>
    <definedName name="Linking_72" localSheetId="2">#REF!</definedName>
    <definedName name="Linking_72" localSheetId="6">#REF!</definedName>
    <definedName name="Linking_72">#REF!</definedName>
    <definedName name="Linking_73" localSheetId="8">#REF!</definedName>
    <definedName name="Linking_73" localSheetId="7">#REF!</definedName>
    <definedName name="Linking_73" localSheetId="2">#REF!</definedName>
    <definedName name="Linking_73" localSheetId="6">#REF!</definedName>
    <definedName name="Linking_73">#REF!</definedName>
    <definedName name="Linking_74" localSheetId="8">#REF!</definedName>
    <definedName name="Linking_74" localSheetId="7">#REF!</definedName>
    <definedName name="Linking_74" localSheetId="2">#REF!</definedName>
    <definedName name="Linking_74" localSheetId="6">#REF!</definedName>
    <definedName name="Linking_74">#REF!</definedName>
    <definedName name="Linking_75" localSheetId="8">#REF!</definedName>
    <definedName name="Linking_75" localSheetId="7">#REF!</definedName>
    <definedName name="Linking_75" localSheetId="2">#REF!</definedName>
    <definedName name="Linking_75" localSheetId="6">#REF!</definedName>
    <definedName name="Linking_75">#REF!</definedName>
    <definedName name="Linking_76" localSheetId="8">#REF!</definedName>
    <definedName name="Linking_76" localSheetId="7">#REF!</definedName>
    <definedName name="Linking_76" localSheetId="2">#REF!</definedName>
    <definedName name="Linking_76" localSheetId="6">#REF!</definedName>
    <definedName name="Linking_76">#REF!</definedName>
    <definedName name="Linking_77" localSheetId="8">#REF!</definedName>
    <definedName name="Linking_77" localSheetId="7">#REF!</definedName>
    <definedName name="Linking_77" localSheetId="2">#REF!</definedName>
    <definedName name="Linking_77" localSheetId="6">#REF!</definedName>
    <definedName name="Linking_77">#REF!</definedName>
    <definedName name="Linking_78" localSheetId="8">#REF!</definedName>
    <definedName name="Linking_78" localSheetId="7">#REF!</definedName>
    <definedName name="Linking_78" localSheetId="2">#REF!</definedName>
    <definedName name="Linking_78" localSheetId="6">#REF!</definedName>
    <definedName name="Linking_78">#REF!</definedName>
    <definedName name="Linking_79" localSheetId="8">#REF!</definedName>
    <definedName name="Linking_79" localSheetId="7">#REF!</definedName>
    <definedName name="Linking_79" localSheetId="2">#REF!</definedName>
    <definedName name="Linking_79" localSheetId="6">#REF!</definedName>
    <definedName name="Linking_79">#REF!</definedName>
    <definedName name="Linking_8" localSheetId="0">#REF!</definedName>
    <definedName name="Linking_8" localSheetId="8">#REF!</definedName>
    <definedName name="Linking_8" localSheetId="7">#REF!</definedName>
    <definedName name="Linking_8" localSheetId="2">#REF!</definedName>
    <definedName name="Linking_8" localSheetId="6">#REF!</definedName>
    <definedName name="Linking_8">#REF!</definedName>
    <definedName name="Linking_80" localSheetId="8">#REF!</definedName>
    <definedName name="Linking_80" localSheetId="7">#REF!</definedName>
    <definedName name="Linking_80" localSheetId="2">#REF!</definedName>
    <definedName name="Linking_80" localSheetId="6">#REF!</definedName>
    <definedName name="Linking_80">#REF!</definedName>
    <definedName name="Linking_81" localSheetId="8">#REF!</definedName>
    <definedName name="Linking_81" localSheetId="7">#REF!</definedName>
    <definedName name="Linking_81" localSheetId="2">#REF!</definedName>
    <definedName name="Linking_81" localSheetId="6">#REF!</definedName>
    <definedName name="Linking_81">#REF!</definedName>
    <definedName name="Linking_82" localSheetId="8">#REF!</definedName>
    <definedName name="Linking_82" localSheetId="7">#REF!</definedName>
    <definedName name="Linking_82" localSheetId="2">#REF!</definedName>
    <definedName name="Linking_82" localSheetId="6">#REF!</definedName>
    <definedName name="Linking_82">#REF!</definedName>
    <definedName name="Linking_83" localSheetId="8">#REF!</definedName>
    <definedName name="Linking_83" localSheetId="7">#REF!</definedName>
    <definedName name="Linking_83" localSheetId="2">#REF!</definedName>
    <definedName name="Linking_83" localSheetId="6">#REF!</definedName>
    <definedName name="Linking_83">#REF!</definedName>
    <definedName name="Linking_84" localSheetId="8">#REF!</definedName>
    <definedName name="Linking_84" localSheetId="7">#REF!</definedName>
    <definedName name="Linking_84" localSheetId="2">#REF!</definedName>
    <definedName name="Linking_84" localSheetId="6">#REF!</definedName>
    <definedName name="Linking_84">#REF!</definedName>
    <definedName name="Linking_85" localSheetId="8">#REF!</definedName>
    <definedName name="Linking_85" localSheetId="7">#REF!</definedName>
    <definedName name="Linking_85" localSheetId="2">#REF!</definedName>
    <definedName name="Linking_85" localSheetId="6">#REF!</definedName>
    <definedName name="Linking_85">#REF!</definedName>
    <definedName name="Linking_86" localSheetId="8">#REF!</definedName>
    <definedName name="Linking_86" localSheetId="7">#REF!</definedName>
    <definedName name="Linking_86" localSheetId="2">#REF!</definedName>
    <definedName name="Linking_86" localSheetId="6">#REF!</definedName>
    <definedName name="Linking_86">#REF!</definedName>
    <definedName name="Linking_87" localSheetId="8">#REF!</definedName>
    <definedName name="Linking_87" localSheetId="7">#REF!</definedName>
    <definedName name="Linking_87" localSheetId="2">#REF!</definedName>
    <definedName name="Linking_87" localSheetId="6">#REF!</definedName>
    <definedName name="Linking_87">#REF!</definedName>
    <definedName name="Linking_88" localSheetId="8">#REF!</definedName>
    <definedName name="Linking_88" localSheetId="7">#REF!</definedName>
    <definedName name="Linking_88" localSheetId="2">#REF!</definedName>
    <definedName name="Linking_88" localSheetId="6">#REF!</definedName>
    <definedName name="Linking_88">#REF!</definedName>
    <definedName name="Linking_89" localSheetId="8">#REF!</definedName>
    <definedName name="Linking_89" localSheetId="7">#REF!</definedName>
    <definedName name="Linking_89" localSheetId="2">#REF!</definedName>
    <definedName name="Linking_89" localSheetId="6">#REF!</definedName>
    <definedName name="Linking_89">#REF!</definedName>
    <definedName name="Linking_9" localSheetId="2">#REF!</definedName>
    <definedName name="Linking_9">#REF!</definedName>
    <definedName name="Linking_90" localSheetId="8">#REF!</definedName>
    <definedName name="Linking_90" localSheetId="7">#REF!</definedName>
    <definedName name="Linking_90" localSheetId="2">#REF!</definedName>
    <definedName name="Linking_90" localSheetId="6">#REF!</definedName>
    <definedName name="Linking_90">#REF!</definedName>
    <definedName name="Linking_91" localSheetId="8">#REF!</definedName>
    <definedName name="Linking_91" localSheetId="7">#REF!</definedName>
    <definedName name="Linking_91" localSheetId="2">#REF!</definedName>
    <definedName name="Linking_91" localSheetId="6">#REF!</definedName>
    <definedName name="Linking_91">#REF!</definedName>
    <definedName name="Linking_92" localSheetId="8">#REF!</definedName>
    <definedName name="Linking_92" localSheetId="7">#REF!</definedName>
    <definedName name="Linking_92" localSheetId="2">#REF!</definedName>
    <definedName name="Linking_92" localSheetId="6">#REF!</definedName>
    <definedName name="Linking_92">#REF!</definedName>
    <definedName name="Linking_93" localSheetId="8">#REF!</definedName>
    <definedName name="Linking_93" localSheetId="7">#REF!</definedName>
    <definedName name="Linking_93" localSheetId="2">#REF!</definedName>
    <definedName name="Linking_93" localSheetId="6">#REF!</definedName>
    <definedName name="Linking_93">#REF!</definedName>
    <definedName name="Linking_94" localSheetId="8">#REF!</definedName>
    <definedName name="Linking_94" localSheetId="7">#REF!</definedName>
    <definedName name="Linking_94" localSheetId="2">#REF!</definedName>
    <definedName name="Linking_94" localSheetId="6">#REF!</definedName>
    <definedName name="Linking_94">#REF!</definedName>
    <definedName name="Linking_95" localSheetId="8">#REF!</definedName>
    <definedName name="Linking_95" localSheetId="7">#REF!</definedName>
    <definedName name="Linking_95" localSheetId="2">#REF!</definedName>
    <definedName name="Linking_95" localSheetId="6">#REF!</definedName>
    <definedName name="Linking_95">#REF!</definedName>
    <definedName name="Linking_96" localSheetId="8">#REF!</definedName>
    <definedName name="Linking_96" localSheetId="7">#REF!</definedName>
    <definedName name="Linking_96" localSheetId="2">#REF!</definedName>
    <definedName name="Linking_96" localSheetId="6">#REF!</definedName>
    <definedName name="Linking_96">#REF!</definedName>
    <definedName name="Linking_97" localSheetId="8">#REF!</definedName>
    <definedName name="Linking_97" localSheetId="7">#REF!</definedName>
    <definedName name="Linking_97" localSheetId="2">#REF!</definedName>
    <definedName name="Linking_97" localSheetId="6">#REF!</definedName>
    <definedName name="Linking_97">#REF!</definedName>
    <definedName name="Linking_98" localSheetId="8">#REF!</definedName>
    <definedName name="Linking_98" localSheetId="7">#REF!</definedName>
    <definedName name="Linking_98" localSheetId="2">#REF!</definedName>
    <definedName name="Linking_98" localSheetId="6">#REF!</definedName>
    <definedName name="Linking_98">#REF!</definedName>
    <definedName name="Linking_99" localSheetId="8">#REF!</definedName>
    <definedName name="Linking_99" localSheetId="7">#REF!</definedName>
    <definedName name="Linking_99" localSheetId="2">#REF!</definedName>
    <definedName name="Linking_99" localSheetId="6">#REF!</definedName>
    <definedName name="Linking_99">#REF!</definedName>
    <definedName name="Linking_Chart1" localSheetId="8">#REF!</definedName>
    <definedName name="Linking_Chart1" localSheetId="7">#REF!</definedName>
    <definedName name="Linking_Chart1" localSheetId="2">#REF!</definedName>
    <definedName name="Linking_Chart1" localSheetId="6">#REF!</definedName>
    <definedName name="Linking_Chart1">#REF!</definedName>
    <definedName name="Linking_Chart4" localSheetId="2">#REF!</definedName>
    <definedName name="Linking_Chart4">#REF!</definedName>
    <definedName name="Linking_Range_1" localSheetId="8">#REF!</definedName>
    <definedName name="Linking_Range_1" localSheetId="7">#REF!</definedName>
    <definedName name="Linking_Range_1" localSheetId="2">#REF!</definedName>
    <definedName name="Linking_Range_1" localSheetId="6">#REF!</definedName>
    <definedName name="Linking_Range_1">#REF!</definedName>
    <definedName name="linking_range_10" localSheetId="8">#REF!</definedName>
    <definedName name="linking_range_10" localSheetId="7">#REF!</definedName>
    <definedName name="linking_range_10" localSheetId="2">#REF!</definedName>
    <definedName name="linking_range_10" localSheetId="6">#REF!</definedName>
    <definedName name="linking_range_10">#REF!</definedName>
    <definedName name="linking_range_100" localSheetId="8">#REF!</definedName>
    <definedName name="linking_range_100" localSheetId="7">#REF!</definedName>
    <definedName name="linking_range_100" localSheetId="2">#REF!</definedName>
    <definedName name="linking_range_100" localSheetId="6">#REF!</definedName>
    <definedName name="linking_range_100">#REF!</definedName>
    <definedName name="linking_range_11" localSheetId="8">#REF!</definedName>
    <definedName name="linking_range_11" localSheetId="7">#REF!</definedName>
    <definedName name="linking_range_11" localSheetId="2">#REF!</definedName>
    <definedName name="linking_range_11" localSheetId="6">#REF!</definedName>
    <definedName name="linking_range_11">#REF!</definedName>
    <definedName name="Linking_Range_14" localSheetId="8">#REF!</definedName>
    <definedName name="Linking_Range_14" localSheetId="7">#REF!</definedName>
    <definedName name="Linking_Range_14" localSheetId="2">#REF!</definedName>
    <definedName name="Linking_Range_14" localSheetId="6">#REF!</definedName>
    <definedName name="Linking_Range_14">#REF!</definedName>
    <definedName name="Linking_Range_15" localSheetId="0">#REF!</definedName>
    <definedName name="Linking_Range_15" localSheetId="8">#REF!</definedName>
    <definedName name="Linking_Range_15" localSheetId="7">#REF!</definedName>
    <definedName name="linking_range_15" localSheetId="2">#REF!</definedName>
    <definedName name="Linking_Range_15" localSheetId="6">#REF!</definedName>
    <definedName name="linking_range_15">#REF!</definedName>
    <definedName name="Linking_Range_16" localSheetId="8">#REF!</definedName>
    <definedName name="Linking_Range_16" localSheetId="7">#REF!</definedName>
    <definedName name="Linking_Range_16" localSheetId="2">#REF!</definedName>
    <definedName name="Linking_Range_16" localSheetId="6">#REF!</definedName>
    <definedName name="Linking_Range_16">#REF!</definedName>
    <definedName name="Linking_Range_17" localSheetId="8">#REF!</definedName>
    <definedName name="Linking_Range_17" localSheetId="7">#REF!</definedName>
    <definedName name="Linking_Range_17" localSheetId="2">#REF!</definedName>
    <definedName name="Linking_Range_17" localSheetId="6">#REF!</definedName>
    <definedName name="Linking_Range_17">#REF!</definedName>
    <definedName name="Linking_Range_18" localSheetId="8">#REF!</definedName>
    <definedName name="Linking_Range_18" localSheetId="7">#REF!</definedName>
    <definedName name="Linking_Range_18" localSheetId="2">#REF!</definedName>
    <definedName name="Linking_Range_18" localSheetId="6">#REF!</definedName>
    <definedName name="Linking_Range_18">#REF!</definedName>
    <definedName name="Linking_Range_19" localSheetId="8">#REF!</definedName>
    <definedName name="Linking_Range_19" localSheetId="7">#REF!</definedName>
    <definedName name="Linking_Range_19" localSheetId="2">#REF!</definedName>
    <definedName name="Linking_Range_19" localSheetId="6">#REF!</definedName>
    <definedName name="Linking_Range_19">#REF!</definedName>
    <definedName name="linking_range_20" localSheetId="8">#REF!</definedName>
    <definedName name="linking_range_20" localSheetId="7">#REF!</definedName>
    <definedName name="linking_range_20" localSheetId="2">#REF!</definedName>
    <definedName name="linking_range_20" localSheetId="6">#REF!</definedName>
    <definedName name="linking_range_20">#REF!</definedName>
    <definedName name="Linking_Range_21" localSheetId="8">#REF!</definedName>
    <definedName name="Linking_Range_21" localSheetId="7">#REF!</definedName>
    <definedName name="Linking_Range_21" localSheetId="2">#REF!</definedName>
    <definedName name="Linking_Range_21" localSheetId="6">#REF!</definedName>
    <definedName name="Linking_Range_21">#REF!</definedName>
    <definedName name="Linking_Range_22" localSheetId="0">#REF!</definedName>
    <definedName name="Linking_Range_22" localSheetId="8">#REF!</definedName>
    <definedName name="Linking_Range_22" localSheetId="7">#REF!</definedName>
    <definedName name="Linking_Range_22" localSheetId="2">#REF!</definedName>
    <definedName name="Linking_Range_22" localSheetId="6">#REF!</definedName>
    <definedName name="Linking_Range_22">#REF!</definedName>
    <definedName name="Linking_Range_23" localSheetId="0">#REF!</definedName>
    <definedName name="Linking_Range_23" localSheetId="8">#REF!</definedName>
    <definedName name="Linking_Range_23" localSheetId="7">#REF!</definedName>
    <definedName name="Linking_Range_23" localSheetId="2">#REF!</definedName>
    <definedName name="Linking_Range_23" localSheetId="6">#REF!</definedName>
    <definedName name="Linking_Range_23">#REF!</definedName>
    <definedName name="Linking_Range_26" localSheetId="8">#REF!</definedName>
    <definedName name="Linking_Range_26" localSheetId="7">#REF!</definedName>
    <definedName name="Linking_Range_26" localSheetId="2">#REF!</definedName>
    <definedName name="Linking_Range_26" localSheetId="6">#REF!</definedName>
    <definedName name="Linking_Range_26">#REF!</definedName>
    <definedName name="Linking_Range_29" localSheetId="2">#REF!</definedName>
    <definedName name="Linking_Range_29">#REF!</definedName>
    <definedName name="Linking_Range_31" localSheetId="2">#REF!</definedName>
    <definedName name="Linking_Range_31">#REF!</definedName>
    <definedName name="Linking_Range_32" localSheetId="2">'GPU Roadmap'!$B$3:$J$14</definedName>
    <definedName name="Linking_Range_32">#REF!</definedName>
    <definedName name="Linking_Range_33" localSheetId="2">'GPU Roadmap'!$B$55:$J$65</definedName>
    <definedName name="Linking_Range_33">#REF!</definedName>
    <definedName name="Linking_Range_34" localSheetId="2">'GPU Roadmap'!$B$3:$J$14</definedName>
    <definedName name="Linking_Range_34">#REF!</definedName>
    <definedName name="Linking_Range_35" localSheetId="2">'GPU Roadmap'!$B$55:$J$65</definedName>
    <definedName name="Linking_Range_35">#REF!</definedName>
    <definedName name="Linking_Range_36" localSheetId="2">'GPU Roadmap'!$B$55:$J$65</definedName>
    <definedName name="Linking_Range_36">#REF!</definedName>
    <definedName name="Linking_Range_37" localSheetId="2">#REF!</definedName>
    <definedName name="Linking_Range_37">#REF!</definedName>
    <definedName name="Linking_Range_38">#REF!</definedName>
    <definedName name="Linking_Range_39">#REF!</definedName>
    <definedName name="Linking_Range_4" localSheetId="8">[5]Penetration!#REF!</definedName>
    <definedName name="Linking_Range_4" localSheetId="7">[5]Penetration!#REF!</definedName>
    <definedName name="Linking_Range_4" localSheetId="2">#REF!</definedName>
    <definedName name="Linking_Range_4" localSheetId="6">[5]Penetration!#REF!</definedName>
    <definedName name="Linking_Range_4">#REF!</definedName>
    <definedName name="Linking_Range_40">#REF!</definedName>
    <definedName name="Linking_Range_41">#REF!</definedName>
    <definedName name="Linking_Range_42" localSheetId="2">#REF!</definedName>
    <definedName name="Linking_Range_42">#REF!</definedName>
    <definedName name="Linking_Range_43" localSheetId="2">'GPU Roadmap'!$B$17:$J$41</definedName>
    <definedName name="Linking_Range_43">#REF!</definedName>
    <definedName name="Linking_Range_5" localSheetId="8">#REF!</definedName>
    <definedName name="Linking_Range_5" localSheetId="7">#REF!</definedName>
    <definedName name="Linking_Range_5" localSheetId="2">#REF!</definedName>
    <definedName name="Linking_Range_5" localSheetId="6">#REF!</definedName>
    <definedName name="Linking_Range_5">#REF!</definedName>
    <definedName name="linking_range_50" localSheetId="8">#REF!</definedName>
    <definedName name="linking_range_50" localSheetId="7">#REF!</definedName>
    <definedName name="linking_range_50" localSheetId="2">#REF!</definedName>
    <definedName name="linking_range_50" localSheetId="6">#REF!</definedName>
    <definedName name="linking_range_50">#REF!</definedName>
    <definedName name="Linking_Range_6" localSheetId="0">#REF!</definedName>
    <definedName name="Linking_Range_6" localSheetId="8">#REF!</definedName>
    <definedName name="Linking_Range_6" localSheetId="7">#REF!</definedName>
    <definedName name="Linking_Range_6" localSheetId="2">#REF!</definedName>
    <definedName name="Linking_Range_6" localSheetId="6">#REF!</definedName>
    <definedName name="Linking_Range_6">#REF!</definedName>
    <definedName name="Linking_Range_7" localSheetId="0">#REF!</definedName>
    <definedName name="Linking_Range_7" localSheetId="8">#REF!</definedName>
    <definedName name="Linking_Range_7" localSheetId="7">#REF!</definedName>
    <definedName name="Linking_Range_7" localSheetId="2">#REF!</definedName>
    <definedName name="Linking_Range_7" localSheetId="6">#REF!</definedName>
    <definedName name="Linking_Range_7">#REF!</definedName>
    <definedName name="Linking_Range_8" localSheetId="8">#REF!</definedName>
    <definedName name="Linking_Range_8" localSheetId="7">#REF!</definedName>
    <definedName name="Linking_Range_8" localSheetId="2">#REF!</definedName>
    <definedName name="Linking_Range_8" localSheetId="6">#REF!</definedName>
    <definedName name="Linking_Range_8">#REF!</definedName>
    <definedName name="Linking_Range10" localSheetId="8">#REF!</definedName>
    <definedName name="Linking_Range10" localSheetId="7">#REF!</definedName>
    <definedName name="Linking_Range10" localSheetId="2">#REF!</definedName>
    <definedName name="Linking_Range10" localSheetId="6">#REF!</definedName>
    <definedName name="Linking_Range10">#REF!</definedName>
    <definedName name="linking_range1000" localSheetId="8">#REF!</definedName>
    <definedName name="linking_range1000" localSheetId="7">#REF!</definedName>
    <definedName name="linking_range1000" localSheetId="2">#REF!</definedName>
    <definedName name="linking_range1000" localSheetId="6">#REF!</definedName>
    <definedName name="linking_range1000">#REF!</definedName>
    <definedName name="linking_range1001" localSheetId="8">#REF!</definedName>
    <definedName name="linking_range1001" localSheetId="7">#REF!</definedName>
    <definedName name="linking_range1001" localSheetId="2">#REF!</definedName>
    <definedName name="linking_range1001" localSheetId="6">#REF!</definedName>
    <definedName name="linking_range1001">#REF!</definedName>
    <definedName name="linking_range1002" localSheetId="8">#REF!</definedName>
    <definedName name="linking_range1002" localSheetId="7">#REF!</definedName>
    <definedName name="linking_range1002" localSheetId="2">#REF!</definedName>
    <definedName name="linking_range1002" localSheetId="6">#REF!</definedName>
    <definedName name="linking_range1002">#REF!</definedName>
    <definedName name="linking_range1003" localSheetId="8">#REF!</definedName>
    <definedName name="linking_range1003" localSheetId="7">#REF!</definedName>
    <definedName name="linking_range1003" localSheetId="2">#REF!</definedName>
    <definedName name="linking_range1003" localSheetId="6">#REF!</definedName>
    <definedName name="linking_range1003">#REF!</definedName>
    <definedName name="linking_range1004" localSheetId="8">#REF!</definedName>
    <definedName name="linking_range1004" localSheetId="7">#REF!</definedName>
    <definedName name="linking_range1004" localSheetId="2">#REF!</definedName>
    <definedName name="linking_range1004" localSheetId="6">#REF!</definedName>
    <definedName name="linking_range1004">#REF!</definedName>
    <definedName name="Linking_Range11" localSheetId="8">#REF!</definedName>
    <definedName name="Linking_Range11" localSheetId="7">#REF!</definedName>
    <definedName name="Linking_Range11" localSheetId="2">#REF!</definedName>
    <definedName name="Linking_Range11" localSheetId="6">#REF!</definedName>
    <definedName name="Linking_Range11">#REF!</definedName>
    <definedName name="linking_range15" localSheetId="8">#REF!</definedName>
    <definedName name="linking_range15" localSheetId="7">#REF!</definedName>
    <definedName name="linking_range15" localSheetId="2">#REF!</definedName>
    <definedName name="linking_range15" localSheetId="6">#REF!</definedName>
    <definedName name="linking_range15">#REF!</definedName>
    <definedName name="Linking_Range150" localSheetId="8">#REF!</definedName>
    <definedName name="Linking_Range150" localSheetId="7">#REF!</definedName>
    <definedName name="Linking_Range150" localSheetId="2">#REF!</definedName>
    <definedName name="Linking_Range150" localSheetId="6">#REF!</definedName>
    <definedName name="Linking_Range150">#REF!</definedName>
    <definedName name="linking_range17" localSheetId="8">#REF!</definedName>
    <definedName name="linking_range17" localSheetId="7">#REF!</definedName>
    <definedName name="linking_range17" localSheetId="2">#REF!</definedName>
    <definedName name="linking_range17" localSheetId="6">#REF!</definedName>
    <definedName name="linking_range17">#REF!</definedName>
    <definedName name="linking_range177" localSheetId="8">#REF!</definedName>
    <definedName name="linking_range177" localSheetId="7">#REF!</definedName>
    <definedName name="linking_range177" localSheetId="2">#REF!</definedName>
    <definedName name="linking_range177" localSheetId="6">#REF!</definedName>
    <definedName name="linking_range177">#REF!</definedName>
    <definedName name="Linking_range1984" localSheetId="8">#REF!</definedName>
    <definedName name="Linking_range1984" localSheetId="7">#REF!</definedName>
    <definedName name="Linking_range1984" localSheetId="2">#REF!</definedName>
    <definedName name="Linking_range1984" localSheetId="6">#REF!</definedName>
    <definedName name="Linking_range1984">#REF!</definedName>
    <definedName name="Linking_range20" localSheetId="8">#REF!</definedName>
    <definedName name="Linking_range20" localSheetId="7">#REF!</definedName>
    <definedName name="Linking_range20" localSheetId="2">#REF!</definedName>
    <definedName name="Linking_range20" localSheetId="6">#REF!</definedName>
    <definedName name="Linking_range20">#REF!</definedName>
    <definedName name="linking_range25" localSheetId="8">#REF!</definedName>
    <definedName name="linking_range25" localSheetId="7">#REF!</definedName>
    <definedName name="linking_range25" localSheetId="2">#REF!</definedName>
    <definedName name="linking_range25" localSheetId="6">#REF!</definedName>
    <definedName name="linking_range25">#REF!</definedName>
    <definedName name="linking_range4" localSheetId="8">#REF!</definedName>
    <definedName name="linking_range4" localSheetId="7">#REF!</definedName>
    <definedName name="linking_range4" localSheetId="2">#REF!</definedName>
    <definedName name="linking_range4" localSheetId="6">#REF!</definedName>
    <definedName name="linking_range4">#REF!</definedName>
    <definedName name="linking_range5" localSheetId="8">#REF!</definedName>
    <definedName name="linking_range5" localSheetId="7">#REF!</definedName>
    <definedName name="linking_range5" localSheetId="2">#REF!</definedName>
    <definedName name="linking_range5" localSheetId="6">#REF!</definedName>
    <definedName name="linking_range5">#REF!</definedName>
    <definedName name="linking_range50" localSheetId="8">#REF!</definedName>
    <definedName name="linking_range50" localSheetId="7">#REF!</definedName>
    <definedName name="linking_range50" localSheetId="2">#REF!</definedName>
    <definedName name="linking_range50" localSheetId="6">#REF!</definedName>
    <definedName name="linking_range50">#REF!</definedName>
    <definedName name="linking_range500" localSheetId="8">#REF!</definedName>
    <definedName name="linking_range500" localSheetId="7">#REF!</definedName>
    <definedName name="linking_range500" localSheetId="2">#REF!</definedName>
    <definedName name="linking_range500" localSheetId="6">#REF!</definedName>
    <definedName name="linking_range500">#REF!</definedName>
    <definedName name="linking_range51" localSheetId="8">#REF!</definedName>
    <definedName name="linking_range51" localSheetId="7">#REF!</definedName>
    <definedName name="linking_range51" localSheetId="2">#REF!</definedName>
    <definedName name="linking_range51" localSheetId="6">#REF!</definedName>
    <definedName name="linking_range51">#REF!</definedName>
    <definedName name="linking_range52" localSheetId="8">#REF!</definedName>
    <definedName name="linking_range52" localSheetId="7">#REF!</definedName>
    <definedName name="linking_range52" localSheetId="2">#REF!</definedName>
    <definedName name="linking_range52" localSheetId="6">#REF!</definedName>
    <definedName name="linking_range52">#REF!</definedName>
    <definedName name="linking_range53" localSheetId="8">#REF!</definedName>
    <definedName name="linking_range53" localSheetId="7">#REF!</definedName>
    <definedName name="linking_range53" localSheetId="2">#REF!</definedName>
    <definedName name="linking_range53" localSheetId="6">#REF!</definedName>
    <definedName name="linking_range53">#REF!</definedName>
    <definedName name="linking_range55" localSheetId="8">#REF!</definedName>
    <definedName name="linking_range55" localSheetId="7">#REF!</definedName>
    <definedName name="linking_range55" localSheetId="2">#REF!</definedName>
    <definedName name="linking_range55" localSheetId="6">#REF!</definedName>
    <definedName name="linking_range55">#REF!</definedName>
    <definedName name="linking_range8" localSheetId="8">#REF!</definedName>
    <definedName name="linking_range8" localSheetId="7">#REF!</definedName>
    <definedName name="linking_range8" localSheetId="2">#REF!</definedName>
    <definedName name="linking_range8" localSheetId="6">#REF!</definedName>
    <definedName name="linking_range8">#REF!</definedName>
    <definedName name="Linking_Table2" localSheetId="2">#REF!</definedName>
    <definedName name="Linking_Table2">#REF!</definedName>
    <definedName name="Linking_Table3" localSheetId="2">#REF!</definedName>
    <definedName name="Linking_Table3">#REF!</definedName>
    <definedName name="Linking_Table3a" localSheetId="2">#REF!</definedName>
    <definedName name="Linking_Table3a">#REF!</definedName>
    <definedName name="Linking_Table5" localSheetId="2">#REF!</definedName>
    <definedName name="Linking_Table5">#REF!</definedName>
    <definedName name="Linking_Text_1" localSheetId="2">#REF!</definedName>
    <definedName name="Linking_Text_1">#REF!</definedName>
    <definedName name="LinkingRange_1" localSheetId="8">#REF!</definedName>
    <definedName name="LinkingRange_1" localSheetId="7">#REF!</definedName>
    <definedName name="LinkingRange_1" localSheetId="2">#REF!</definedName>
    <definedName name="LinkingRange_1" localSheetId="6">#REF!</definedName>
    <definedName name="LinkingRange_1">#REF!</definedName>
    <definedName name="Map">"Map"</definedName>
    <definedName name="middleEast" localSheetId="8">#REF!</definedName>
    <definedName name="middleEast" localSheetId="7">#REF!</definedName>
    <definedName name="middleEast" localSheetId="2">#REF!</definedName>
    <definedName name="middleEast" localSheetId="6">#REF!</definedName>
    <definedName name="middleEast">#REF!</definedName>
    <definedName name="middleEastAfrica" localSheetId="8">#REF!</definedName>
    <definedName name="middleEastAfrica" localSheetId="7">#REF!</definedName>
    <definedName name="middleEastAfrica" localSheetId="2">#REF!</definedName>
    <definedName name="middleEastAfrica" localSheetId="6">#REF!</definedName>
    <definedName name="middleEastAfrica">#REF!</definedName>
    <definedName name="middleEastAfricaRegion" localSheetId="8">#REF!</definedName>
    <definedName name="middleEastAfricaRegion" localSheetId="7">#REF!</definedName>
    <definedName name="middleEastAfricaRegion" localSheetId="2">#REF!</definedName>
    <definedName name="middleEastAfricaRegion" localSheetId="6">#REF!</definedName>
    <definedName name="middleEastAfricaRegion">#REF!</definedName>
    <definedName name="middleEastAfricaStates" localSheetId="8">#REF!</definedName>
    <definedName name="middleEastAfricaStates" localSheetId="7">#REF!</definedName>
    <definedName name="middleEastAfricaStates" localSheetId="2">#REF!</definedName>
    <definedName name="middleEastAfricaStates" localSheetId="6">#REF!</definedName>
    <definedName name="middleEastAfricaStates">#REF!</definedName>
    <definedName name="MonitorRow">1</definedName>
    <definedName name="northAmerica" localSheetId="8">#REF!</definedName>
    <definedName name="northAmerica" localSheetId="7">#REF!</definedName>
    <definedName name="northAmerica" localSheetId="2">#REF!</definedName>
    <definedName name="northAmerica" localSheetId="6">#REF!</definedName>
    <definedName name="northAmerica">#REF!</definedName>
    <definedName name="northAmericaCountries" localSheetId="8">#REF!</definedName>
    <definedName name="northAmericaCountries" localSheetId="7">#REF!</definedName>
    <definedName name="northAmericaCountries" localSheetId="2">#REF!</definedName>
    <definedName name="northAmericaCountries" localSheetId="6">#REF!</definedName>
    <definedName name="northAmericaCountries">#REF!</definedName>
    <definedName name="OHLC">"OHLC"</definedName>
    <definedName name="otherAfrica" localSheetId="8">#REF!</definedName>
    <definedName name="otherAfrica" localSheetId="7">#REF!</definedName>
    <definedName name="otherAfrica" localSheetId="2">#REF!</definedName>
    <definedName name="otherAfrica" localSheetId="6">#REF!</definedName>
    <definedName name="otherAfrica">#REF!</definedName>
    <definedName name="otherAsiaPacific" localSheetId="8">#REF!</definedName>
    <definedName name="otherAsiaPacific" localSheetId="7">#REF!</definedName>
    <definedName name="otherAsiaPacific" localSheetId="2">#REF!</definedName>
    <definedName name="otherAsiaPacific" localSheetId="6">#REF!</definedName>
    <definedName name="otherAsiaPacific">#REF!</definedName>
    <definedName name="otherCentralEasternEurope" localSheetId="8">#REF!</definedName>
    <definedName name="otherCentralEasternEurope" localSheetId="7">#REF!</definedName>
    <definedName name="otherCentralEasternEurope" localSheetId="2">#REF!</definedName>
    <definedName name="otherCentralEasternEurope" localSheetId="6">#REF!</definedName>
    <definedName name="otherCentralEasternEurope">#REF!</definedName>
    <definedName name="otherDevelopedEurope" localSheetId="8">#REF!</definedName>
    <definedName name="otherDevelopedEurope" localSheetId="7">#REF!</definedName>
    <definedName name="otherDevelopedEurope" localSheetId="2">#REF!</definedName>
    <definedName name="otherDevelopedEurope" localSheetId="6">#REF!</definedName>
    <definedName name="otherDevelopedEurope">#REF!</definedName>
    <definedName name="otherLATAM" localSheetId="8">#REF!</definedName>
    <definedName name="otherLATAM" localSheetId="7">#REF!</definedName>
    <definedName name="otherLATAM" localSheetId="2">#REF!</definedName>
    <definedName name="otherLATAM" localSheetId="6">#REF!</definedName>
    <definedName name="otherLATAM">#REF!</definedName>
    <definedName name="over_15_years">0.1</definedName>
    <definedName name="PieChart">"PieChart"</definedName>
    <definedName name="_xlnm.Print_Titles">"Formula removed, name can be deleted."</definedName>
    <definedName name="q" localSheetId="8" hidden="1">{"1. Cover Page",#N/A,TRUE,"Cover Page";"2,3,4. Multiples",#N/A,TRUE,"Multiples";"5. Valuation Charts",#N/A,TRUE,"Valuation Charts";"6,7. Revenues and Earnings",#N/A,TRUE,"Financials";"8. Performance History",#N/A,TRUE,"Performance";"9. Performance Charts",#N/A,TRUE,"Performance Chart";"10. Annual Consensus",#N/A,TRUE,"Annual Consensus";"11.Quarterly Consensus",#N/A,TRUE,"Quarterly Consensus";"12. Disclaimers",#N/A,TRUE,"Disclaimers"}</definedName>
    <definedName name="q" localSheetId="7" hidden="1">{"1. Cover Page",#N/A,TRUE,"Cover Page";"2,3,4. Multiples",#N/A,TRUE,"Multiples";"5. Valuation Charts",#N/A,TRUE,"Valuation Charts";"6,7. Revenues and Earnings",#N/A,TRUE,"Financials";"8. Performance History",#N/A,TRUE,"Performance";"9. Performance Charts",#N/A,TRUE,"Performance Chart";"10. Annual Consensus",#N/A,TRUE,"Annual Consensus";"11.Quarterly Consensus",#N/A,TRUE,"Quarterly Consensus";"12. Disclaimers",#N/A,TRUE,"Disclaimers"}</definedName>
    <definedName name="q" localSheetId="2" hidden="1">{"1. Cover Page",#N/A,TRUE,"Cover Page";"2,3,4. Multiples",#N/A,TRUE,"Multiples";"5. Valuation Charts",#N/A,TRUE,"Valuation Charts";"6,7. Revenues and Earnings",#N/A,TRUE,"Financials";"8. Performance History",#N/A,TRUE,"Performance";"9. Performance Charts",#N/A,TRUE,"Performance Chart";"10. Annual Consensus",#N/A,TRUE,"Annual Consensus";"11.Quarterly Consensus",#N/A,TRUE,"Quarterly Consensus";"12. Disclaimers",#N/A,TRUE,"Disclaimers"}</definedName>
    <definedName name="q" localSheetId="6" hidden="1">{"1. Cover Page",#N/A,TRUE,"Cover Page";"2,3,4. Multiples",#N/A,TRUE,"Multiples";"5. Valuation Charts",#N/A,TRUE,"Valuation Charts";"6,7. Revenues and Earnings",#N/A,TRUE,"Financials";"8. Performance History",#N/A,TRUE,"Performance";"9. Performance Charts",#N/A,TRUE,"Performance Chart";"10. Annual Consensus",#N/A,TRUE,"Annual Consensus";"11.Quarterly Consensus",#N/A,TRUE,"Quarterly Consensus";"12. Disclaimers",#N/A,TRUE,"Disclaimers"}</definedName>
    <definedName name="q" hidden="1">{"1. Cover Page",#N/A,TRUE,"Cover Page";"2,3,4. Multiples",#N/A,TRUE,"Multiples";"5. Valuation Charts",#N/A,TRUE,"Valuation Charts";"6,7. Revenues and Earnings",#N/A,TRUE,"Financials";"8. Performance History",#N/A,TRUE,"Performance";"9. Performance Charts",#N/A,TRUE,"Performance Chart";"10. Annual Consensus",#N/A,TRUE,"Annual Consensus";"11.Quarterly Consensus",#N/A,TRUE,"Quarterly Consensus";"12. Disclaimers",#N/A,TRUE,"Disclaimers"}</definedName>
    <definedName name="regionalCostExposure" localSheetId="8">#REF!</definedName>
    <definedName name="regionalCostExposure" localSheetId="7">#REF!</definedName>
    <definedName name="regionalCostExposure" localSheetId="2">#REF!</definedName>
    <definedName name="regionalCostExposure" localSheetId="6">#REF!</definedName>
    <definedName name="regionalCostExposure">#REF!</definedName>
    <definedName name="REP_CHT_DivisionalBreakdown">"Chart 416"</definedName>
    <definedName name="REP_CHT_GeographicalBreakdown">"Chart 417"</definedName>
    <definedName name="REP_CHT_Spare1">"Chart 422"</definedName>
    <definedName name="REP_CHT_Spare2">"Chart 423"</definedName>
    <definedName name="ReportGroup" hidden="1">0</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2</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BRICS" localSheetId="8">#REF!,#REF!,#REF!,#REF!</definedName>
    <definedName name="rngBRICS" localSheetId="7">#REF!,#REF!,#REF!,#REF!</definedName>
    <definedName name="rngBRICS" localSheetId="2">#REF!,#REF!,#REF!,#REF!</definedName>
    <definedName name="rngBRICS" localSheetId="6">#REF!,#REF!,#REF!,#REF!</definedName>
    <definedName name="rngBRICS">#REF!,#REF!,#REF!,#REF!</definedName>
    <definedName name="rngContinentWiseValue" localSheetId="8">#REF!</definedName>
    <definedName name="rngContinentWiseValue" localSheetId="7">#REF!</definedName>
    <definedName name="rngContinentWiseValue" localSheetId="2">#REF!</definedName>
    <definedName name="rngContinentWiseValue" localSheetId="6">#REF!</definedName>
    <definedName name="rngContinentWiseValue">#REF!</definedName>
    <definedName name="rngCountryWiseValue" localSheetId="8">#REF!</definedName>
    <definedName name="rngCountryWiseValue" localSheetId="7">#REF!</definedName>
    <definedName name="rngCountryWiseValue" localSheetId="2">#REF!</definedName>
    <definedName name="rngCountryWiseValue" localSheetId="6">#REF!</definedName>
    <definedName name="rngCountryWiseValue">#REF!</definedName>
    <definedName name="rngEEMEA" localSheetId="8">#REF!,#REF!,#REF!,#REF!</definedName>
    <definedName name="rngEEMEA" localSheetId="7">#REF!,#REF!,#REF!,#REF!</definedName>
    <definedName name="rngEEMEA" localSheetId="2">#REF!,#REF!,#REF!,#REF!</definedName>
    <definedName name="rngEEMEA" localSheetId="6">#REF!,#REF!,#REF!,#REF!</definedName>
    <definedName name="rngEEMEA">#REF!,#REF!,#REF!,#REF!</definedName>
    <definedName name="rngStateWiseValue" localSheetId="8">#REF!</definedName>
    <definedName name="rngStateWiseValue" localSheetId="7">#REF!</definedName>
    <definedName name="rngStateWiseValue" localSheetId="2">#REF!</definedName>
    <definedName name="rngStateWiseValue" localSheetId="6">#REF!</definedName>
    <definedName name="rngStateWiseValue">#REF!</definedName>
    <definedName name="rngTotalRegionExposure" localSheetId="8">#REF!</definedName>
    <definedName name="rngTotalRegionExposure" localSheetId="7">#REF!</definedName>
    <definedName name="rngTotalRegionExposure" localSheetId="2">#REF!</definedName>
    <definedName name="rngTotalRegionExposure" localSheetId="6">#REF!</definedName>
    <definedName name="rngTotalRegionExposure">#REF!</definedName>
    <definedName name="Scatter">"Scatter"</definedName>
    <definedName name="Scenario">Cover!$D$13</definedName>
    <definedName name="Series">"Series"</definedName>
    <definedName name="showVersionCheckMessage" localSheetId="8">#REF!</definedName>
    <definedName name="showVersionCheckMessage" localSheetId="7">#REF!</definedName>
    <definedName name="showVersionCheckMessage" localSheetId="2">#REF!</definedName>
    <definedName name="showVersionCheckMessage" localSheetId="6">#REF!</definedName>
    <definedName name="showVersionCheckMessage">#REF!</definedName>
    <definedName name="socioEconomicRegion" localSheetId="8">#REF!</definedName>
    <definedName name="socioEconomicRegion" localSheetId="7">#REF!</definedName>
    <definedName name="socioEconomicRegion" localSheetId="2">#REF!</definedName>
    <definedName name="socioEconomicRegion" localSheetId="6">#REF!</definedName>
    <definedName name="socioEconomicRegion">#REF!</definedName>
    <definedName name="socioEconomicRegions" localSheetId="8">#REF!</definedName>
    <definedName name="socioEconomicRegions" localSheetId="7">#REF!</definedName>
    <definedName name="socioEconomicRegions" localSheetId="2">#REF!</definedName>
    <definedName name="socioEconomicRegions" localSheetId="6">#REF!</definedName>
    <definedName name="socioEconomicRegions">#REF!</definedName>
    <definedName name="spain" localSheetId="8">#REF!</definedName>
    <definedName name="spain" localSheetId="7">#REF!</definedName>
    <definedName name="spain" localSheetId="2">#REF!</definedName>
    <definedName name="spain" localSheetId="6">#REF!</definedName>
    <definedName name="spain">#REF!</definedName>
    <definedName name="Stripe">"Stripe"</definedName>
    <definedName name="Table">"Table"</definedName>
    <definedName name="tax_rate">38%</definedName>
    <definedName name="TaxTV">10%</definedName>
    <definedName name="TaxXL">5%</definedName>
    <definedName name="Template.WIRE">"DBACCESS"</definedName>
    <definedName name="totalConsumerDemandExposure" localSheetId="8">#REF!</definedName>
    <definedName name="totalConsumerDemandExposure" localSheetId="7">#REF!</definedName>
    <definedName name="totalConsumerDemandExposure" localSheetId="2">#REF!</definedName>
    <definedName name="totalConsumerDemandExposure" localSheetId="6">#REF!</definedName>
    <definedName name="totalConsumerDemandExposure">#REF!</definedName>
    <definedName name="totalDomesticCostExposure" localSheetId="8">#REF!</definedName>
    <definedName name="totalDomesticCostExposure" localSheetId="7">#REF!</definedName>
    <definedName name="totalDomesticCostExposure" localSheetId="2">#REF!</definedName>
    <definedName name="totalDomesticCostExposure" localSheetId="6">#REF!</definedName>
    <definedName name="totalDomesticCostExposure">#REF!</definedName>
    <definedName name="totalDomesticRevenueExposure" localSheetId="8">#REF!</definedName>
    <definedName name="totalDomesticRevenueExposure" localSheetId="7">#REF!</definedName>
    <definedName name="totalDomesticRevenueExposure" localSheetId="2">#REF!</definedName>
    <definedName name="totalDomesticRevenueExposure" localSheetId="6">#REF!</definedName>
    <definedName name="totalDomesticRevenueExposure">#REF!</definedName>
    <definedName name="totalEndDemandRevenueExposure" localSheetId="8">#REF!</definedName>
    <definedName name="totalEndDemandRevenueExposure" localSheetId="7">#REF!</definedName>
    <definedName name="totalEndDemandRevenueExposure" localSheetId="2">#REF!</definedName>
    <definedName name="totalEndDemandRevenueExposure" localSheetId="6">#REF!</definedName>
    <definedName name="totalEndDemandRevenueExposure">#REF!</definedName>
    <definedName name="totalRegionCostExposure" localSheetId="8">#REF!</definedName>
    <definedName name="totalRegionCostExposure" localSheetId="7">#REF!</definedName>
    <definedName name="totalRegionCostExposure" localSheetId="2">#REF!</definedName>
    <definedName name="totalRegionCostExposure" localSheetId="6">#REF!</definedName>
    <definedName name="totalRegionCostExposure">#REF!</definedName>
    <definedName name="totalRegionRevenueExposure" localSheetId="8">#REF!</definedName>
    <definedName name="totalRegionRevenueExposure" localSheetId="7">#REF!</definedName>
    <definedName name="totalRegionRevenueExposure" localSheetId="2">#REF!</definedName>
    <definedName name="totalRegionRevenueExposure" localSheetId="6">#REF!</definedName>
    <definedName name="totalRegionRevenueExposure">#REF!</definedName>
    <definedName name="Trace">FALSE</definedName>
    <definedName name="trc_XLS_DATASHEET_ProtectDate">35417.7656018519</definedName>
    <definedName name="TreeMap">"TreeMap"</definedName>
    <definedName name="uk" localSheetId="8">#REF!</definedName>
    <definedName name="uk" localSheetId="7">#REF!</definedName>
    <definedName name="uk" localSheetId="2">#REF!</definedName>
    <definedName name="uk" localSheetId="6">#REF!</definedName>
    <definedName name="uk">#REF!</definedName>
    <definedName name="UpgradeVersion">"v2.35"</definedName>
    <definedName name="Version.WIRE">1</definedName>
    <definedName name="Waterfall">"Waterfall"</definedName>
    <definedName name="wrn.PrintSetUp." localSheetId="8" hidden="1">{#N/A,#N/A,TRUE,"1.Cover";#N/A,#N/A,TRUE,"2.KeyFinancials";#N/A,#N/A,TRUE,"3.Multiples";#N/A,#N/A,TRUE,"4.PERatios";#N/A,#N/A,TRUE,"5.BSRatios";#N/A,#N/A,TRUE,"6.Cons_Q";#N/A,#N/A,TRUE,"7.Cons_FY";#N/A,#N/A,TRUE,"8.StkPerf";#N/A,#N/A,TRUE,"9.PerfChart";#N/A,#N/A,TRUE,"10.ValChart";#N/A,#N/A,TRUE,"11.ShortInt";#N/A,#N/A,TRUE,"12.Disclosure"}</definedName>
    <definedName name="wrn.PrintSetUp." localSheetId="7" hidden="1">{#N/A,#N/A,TRUE,"1.Cover";#N/A,#N/A,TRUE,"2.KeyFinancials";#N/A,#N/A,TRUE,"3.Multiples";#N/A,#N/A,TRUE,"4.PERatios";#N/A,#N/A,TRUE,"5.BSRatios";#N/A,#N/A,TRUE,"6.Cons_Q";#N/A,#N/A,TRUE,"7.Cons_FY";#N/A,#N/A,TRUE,"8.StkPerf";#N/A,#N/A,TRUE,"9.PerfChart";#N/A,#N/A,TRUE,"10.ValChart";#N/A,#N/A,TRUE,"11.ShortInt";#N/A,#N/A,TRUE,"12.Disclosure"}</definedName>
    <definedName name="wrn.PrintSetUp." localSheetId="2" hidden="1">{#N/A,#N/A,TRUE,"1.Cover";#N/A,#N/A,TRUE,"2.KeyFinancials";#N/A,#N/A,TRUE,"3.Multiples";#N/A,#N/A,TRUE,"4.PERatios";#N/A,#N/A,TRUE,"5.BSRatios";#N/A,#N/A,TRUE,"6.Cons_Q";#N/A,#N/A,TRUE,"7.Cons_FY";#N/A,#N/A,TRUE,"8.StkPerf";#N/A,#N/A,TRUE,"9.PerfChart";#N/A,#N/A,TRUE,"10.ValChart";#N/A,#N/A,TRUE,"11.ShortInt";#N/A,#N/A,TRUE,"12.Disclosure"}</definedName>
    <definedName name="wrn.PrintSetUp." localSheetId="6" hidden="1">{#N/A,#N/A,TRUE,"1.Cover";#N/A,#N/A,TRUE,"2.KeyFinancials";#N/A,#N/A,TRUE,"3.Multiples";#N/A,#N/A,TRUE,"4.PERatios";#N/A,#N/A,TRUE,"5.BSRatios";#N/A,#N/A,TRUE,"6.Cons_Q";#N/A,#N/A,TRUE,"7.Cons_FY";#N/A,#N/A,TRUE,"8.StkPerf";#N/A,#N/A,TRUE,"9.PerfChart";#N/A,#N/A,TRUE,"10.ValChart";#N/A,#N/A,TRUE,"11.ShortInt";#N/A,#N/A,TRUE,"12.Disclosure"}</definedName>
    <definedName name="wrn.PrintSetUp." hidden="1">{#N/A,#N/A,TRUE,"1.Cover";#N/A,#N/A,TRUE,"2.KeyFinancials";#N/A,#N/A,TRUE,"3.Multiples";#N/A,#N/A,TRUE,"4.PERatios";#N/A,#N/A,TRUE,"5.BSRatios";#N/A,#N/A,TRUE,"6.Cons_Q";#N/A,#N/A,TRUE,"7.Cons_FY";#N/A,#N/A,TRUE,"8.StkPerf";#N/A,#N/A,TRUE,"9.PerfChart";#N/A,#N/A,TRUE,"10.ValChart";#N/A,#N/A,TRUE,"11.ShortInt";#N/A,#N/A,TRUE,"12.Disclosure"}</definedName>
    <definedName name="XX_TEJ54" localSheetId="8">#REF!</definedName>
    <definedName name="XX_TEJ54" localSheetId="7">#REF!</definedName>
    <definedName name="XX_TEJ54" localSheetId="2">#REF!</definedName>
    <definedName name="XX_TEJ54" localSheetId="6">#REF!</definedName>
    <definedName name="XX_TEJ54">#REF!</definedName>
    <definedName name="XX_TEJ56" localSheetId="8">#REF!</definedName>
    <definedName name="XX_TEJ56" localSheetId="7">#REF!</definedName>
    <definedName name="XX_TEJ56" localSheetId="2">#REF!</definedName>
    <definedName name="XX_TEJ56" localSheetId="6">#REF!</definedName>
    <definedName name="XX_TEJ56">#REF!</definedName>
    <definedName name="XX_TEJ79" localSheetId="8">#REF!</definedName>
    <definedName name="XX_TEJ79" localSheetId="7">#REF!</definedName>
    <definedName name="XX_TEJ79" localSheetId="2">#REF!</definedName>
    <definedName name="XX_TEJ79" localSheetId="6">#REF!</definedName>
    <definedName name="XX_TEJ79">#REF!</definedName>
    <definedName name="XX_TEJ80" localSheetId="8">#REF!</definedName>
    <definedName name="XX_TEJ80" localSheetId="7">#REF!</definedName>
    <definedName name="XX_TEJ80" localSheetId="2">#REF!</definedName>
    <definedName name="XX_TEJ80" localSheetId="6">#REF!</definedName>
    <definedName name="XX_TEJ80">#REF!</definedName>
    <definedName name="XX_TEJ81" localSheetId="8">#REF!</definedName>
    <definedName name="XX_TEJ81" localSheetId="7">#REF!</definedName>
    <definedName name="XX_TEJ81" localSheetId="2">#REF!</definedName>
    <definedName name="XX_TEJ81" localSheetId="6">#REF!</definedName>
    <definedName name="XX_TEJ81">#REF!</definedName>
    <definedName name="XX_TEJ84" localSheetId="8">#REF!</definedName>
    <definedName name="XX_TEJ84" localSheetId="7">#REF!</definedName>
    <definedName name="XX_TEJ84" localSheetId="2">#REF!</definedName>
    <definedName name="XX_TEJ84" localSheetId="6">#REF!</definedName>
    <definedName name="XX_TEJ84">#REF!</definedName>
    <definedName name="XX_TEJ85" localSheetId="8">#REF!</definedName>
    <definedName name="XX_TEJ85" localSheetId="7">#REF!</definedName>
    <definedName name="XX_TEJ85" localSheetId="2">#REF!</definedName>
    <definedName name="XX_TEJ85" localSheetId="6">#REF!</definedName>
    <definedName name="XX_TEJ85">#REF!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16" l="1"/>
  <c r="Z5" i="16"/>
  <c r="C6" i="16"/>
  <c r="D6" i="16"/>
  <c r="Y6" i="16"/>
  <c r="Z6" i="16"/>
  <c r="AA6" i="16"/>
  <c r="E7" i="16"/>
  <c r="Y7" i="16"/>
  <c r="Z7" i="16"/>
  <c r="AA7" i="16"/>
  <c r="E8" i="16"/>
  <c r="G8" i="16" s="1"/>
  <c r="Y10" i="16"/>
  <c r="Z10" i="16"/>
  <c r="AA10" i="16"/>
  <c r="AA11" i="16"/>
  <c r="C12" i="16"/>
  <c r="Y12" i="16"/>
  <c r="Z12" i="16"/>
  <c r="AA12" i="16"/>
  <c r="C16" i="16"/>
  <c r="Y9" i="16" s="1"/>
  <c r="D16" i="16"/>
  <c r="Z9" i="16" s="1"/>
  <c r="B20" i="16"/>
  <c r="C20" i="16"/>
  <c r="D20" i="16"/>
  <c r="E20" i="16"/>
  <c r="B21" i="16"/>
  <c r="B22" i="16"/>
  <c r="AA22" i="16"/>
  <c r="B23" i="16"/>
  <c r="AA23" i="16"/>
  <c r="B24" i="16"/>
  <c r="AA24" i="16"/>
  <c r="B25" i="16"/>
  <c r="Y25" i="16"/>
  <c r="Z25" i="16"/>
  <c r="AA25" i="16"/>
  <c r="B26" i="16"/>
  <c r="B27" i="16"/>
  <c r="X27" i="16"/>
  <c r="B28" i="16"/>
  <c r="X28" i="16"/>
  <c r="B29" i="16"/>
  <c r="X29" i="16"/>
  <c r="B30" i="16"/>
  <c r="X30" i="16"/>
  <c r="X31" i="16"/>
  <c r="B32" i="16"/>
  <c r="X32" i="16"/>
  <c r="B33" i="16"/>
  <c r="B34" i="16"/>
  <c r="X34" i="16"/>
  <c r="X35" i="16"/>
  <c r="C36" i="16"/>
  <c r="D36" i="16"/>
  <c r="E36" i="16"/>
  <c r="X36" i="16"/>
  <c r="Y36" i="16"/>
  <c r="Z36" i="16"/>
  <c r="AA36" i="16"/>
  <c r="X37" i="16"/>
  <c r="Y37" i="16"/>
  <c r="Z37" i="16"/>
  <c r="AA37" i="16"/>
  <c r="C38" i="16"/>
  <c r="D38" i="16"/>
  <c r="E38" i="16"/>
  <c r="X38" i="16"/>
  <c r="Y38" i="16"/>
  <c r="Z38" i="16"/>
  <c r="AA38" i="16"/>
  <c r="C39" i="16"/>
  <c r="D39" i="16"/>
  <c r="E39" i="16"/>
  <c r="X39" i="16"/>
  <c r="Y39" i="16"/>
  <c r="Z39" i="16"/>
  <c r="AA39" i="16"/>
  <c r="X50" i="16"/>
  <c r="X51" i="16"/>
  <c r="X52" i="16"/>
  <c r="Y52" i="16"/>
  <c r="Z52" i="16"/>
  <c r="AA52" i="16"/>
  <c r="X53" i="16"/>
  <c r="Y53" i="16"/>
  <c r="Y59" i="16" s="1"/>
  <c r="X54" i="16"/>
  <c r="Y54" i="16"/>
  <c r="Y60" i="16" s="1"/>
  <c r="Z54" i="16"/>
  <c r="Z60" i="16" s="1"/>
  <c r="AA54" i="16"/>
  <c r="X56" i="16"/>
  <c r="Y56" i="16"/>
  <c r="Z56" i="16"/>
  <c r="AA56" i="16"/>
  <c r="X57" i="16"/>
  <c r="Y57" i="16"/>
  <c r="Z57" i="16"/>
  <c r="AA57" i="16"/>
  <c r="AA61" i="16" s="1"/>
  <c r="X58" i="16"/>
  <c r="Y58" i="16"/>
  <c r="Z58" i="16"/>
  <c r="AA58" i="16"/>
  <c r="X59" i="16"/>
  <c r="Z59" i="16"/>
  <c r="AA59" i="16"/>
  <c r="X60" i="16"/>
  <c r="AA60" i="16"/>
  <c r="X71" i="16"/>
  <c r="X72" i="16"/>
  <c r="X73" i="16"/>
  <c r="X74" i="16"/>
  <c r="X75" i="16"/>
  <c r="X77" i="16"/>
  <c r="Y77" i="16"/>
  <c r="Y82" i="16" s="1"/>
  <c r="Z77" i="16"/>
  <c r="AA77" i="16"/>
  <c r="AA82" i="16" s="1"/>
  <c r="X78" i="16"/>
  <c r="Y78" i="16"/>
  <c r="Z78" i="16"/>
  <c r="Z82" i="16" s="1"/>
  <c r="Z83" i="16" s="1"/>
  <c r="AA78" i="16"/>
  <c r="X79" i="16"/>
  <c r="Y79" i="16"/>
  <c r="Z79" i="16"/>
  <c r="AA79" i="16"/>
  <c r="X80" i="16"/>
  <c r="Y80" i="16"/>
  <c r="Z80" i="16"/>
  <c r="AA80" i="16"/>
  <c r="X81" i="16"/>
  <c r="Y81" i="16"/>
  <c r="Z81" i="16"/>
  <c r="AA81" i="16"/>
  <c r="F6" i="15"/>
  <c r="C8" i="16" s="1"/>
  <c r="I6" i="15"/>
  <c r="I4" i="15" s="1"/>
  <c r="F4" i="15" s="1"/>
  <c r="U6" i="15"/>
  <c r="I7" i="15"/>
  <c r="U7" i="15"/>
  <c r="I8" i="15"/>
  <c r="Y20" i="16" s="1"/>
  <c r="Y34" i="16" s="1"/>
  <c r="U8" i="15"/>
  <c r="C9" i="15"/>
  <c r="F9" i="15"/>
  <c r="C39" i="15" s="1"/>
  <c r="I9" i="15"/>
  <c r="U9" i="15"/>
  <c r="U11" i="15" s="1"/>
  <c r="U12" i="15" s="1"/>
  <c r="C11" i="15" s="1"/>
  <c r="F10" i="15"/>
  <c r="F11" i="15"/>
  <c r="B16" i="15"/>
  <c r="B17" i="15"/>
  <c r="B18" i="15"/>
  <c r="B19" i="15"/>
  <c r="B20" i="15"/>
  <c r="I20" i="15"/>
  <c r="I19" i="15" s="1"/>
  <c r="F19" i="15" s="1"/>
  <c r="B21" i="15"/>
  <c r="F21" i="15"/>
  <c r="I21" i="15"/>
  <c r="Y21" i="16" s="1"/>
  <c r="Y35" i="16" s="1"/>
  <c r="B22" i="15"/>
  <c r="I22" i="15"/>
  <c r="B23" i="15"/>
  <c r="B24" i="15"/>
  <c r="F24" i="15"/>
  <c r="Y8" i="16" s="1"/>
  <c r="I24" i="15"/>
  <c r="B25" i="15"/>
  <c r="B26" i="15"/>
  <c r="T26" i="15"/>
  <c r="U26" i="15" s="1"/>
  <c r="U30" i="15" s="1"/>
  <c r="B27" i="15"/>
  <c r="F27" i="15"/>
  <c r="T27" i="15"/>
  <c r="U27" i="15"/>
  <c r="I28" i="15"/>
  <c r="L28" i="15"/>
  <c r="L27" i="15" s="1"/>
  <c r="C38" i="15" s="1"/>
  <c r="T28" i="15"/>
  <c r="U28" i="15" s="1"/>
  <c r="I29" i="15"/>
  <c r="L29" i="15"/>
  <c r="T29" i="15"/>
  <c r="U29" i="15"/>
  <c r="I30" i="15"/>
  <c r="I27" i="15" s="1"/>
  <c r="C37" i="15" s="1"/>
  <c r="L30" i="15"/>
  <c r="I31" i="15"/>
  <c r="C32" i="15"/>
  <c r="C5" i="16" s="1"/>
  <c r="I32" i="15"/>
  <c r="C33" i="15"/>
  <c r="C34" i="15"/>
  <c r="C7" i="16" s="1"/>
  <c r="T35" i="15"/>
  <c r="C36" i="15"/>
  <c r="V36" i="15"/>
  <c r="V35" i="15" s="1"/>
  <c r="T37" i="15"/>
  <c r="T44" i="15" s="1"/>
  <c r="V37" i="15"/>
  <c r="U37" i="15" s="1"/>
  <c r="U44" i="15" s="1"/>
  <c r="V38" i="15"/>
  <c r="T39" i="15"/>
  <c r="C40" i="15"/>
  <c r="C11" i="16" s="1"/>
  <c r="V40" i="15"/>
  <c r="V39" i="15" s="1"/>
  <c r="U39" i="15" s="1"/>
  <c r="U45" i="15" s="1"/>
  <c r="V45" i="15" s="1"/>
  <c r="T43" i="15"/>
  <c r="B45" i="15"/>
  <c r="T45" i="15"/>
  <c r="B46" i="15"/>
  <c r="B47" i="15"/>
  <c r="B48" i="15"/>
  <c r="B49" i="15"/>
  <c r="B50" i="15"/>
  <c r="B51" i="15"/>
  <c r="B52" i="15"/>
  <c r="B53" i="15"/>
  <c r="B54" i="15"/>
  <c r="B55" i="15"/>
  <c r="B56" i="15"/>
  <c r="B57" i="15"/>
  <c r="F6" i="14"/>
  <c r="D8" i="16" s="1"/>
  <c r="I6" i="14"/>
  <c r="U6" i="14"/>
  <c r="U9" i="14" s="1"/>
  <c r="U11" i="14" s="1"/>
  <c r="U12" i="14" s="1"/>
  <c r="C11" i="14" s="1"/>
  <c r="I7" i="14"/>
  <c r="U7" i="14"/>
  <c r="I8" i="14"/>
  <c r="C36" i="14" s="1"/>
  <c r="U8" i="14"/>
  <c r="C9" i="14"/>
  <c r="F9" i="14"/>
  <c r="F11" i="14"/>
  <c r="C39" i="14" s="1"/>
  <c r="F12" i="14"/>
  <c r="B16" i="14"/>
  <c r="B17" i="14"/>
  <c r="B18" i="14"/>
  <c r="B19" i="14"/>
  <c r="B20" i="14"/>
  <c r="I20" i="14"/>
  <c r="I19" i="14" s="1"/>
  <c r="F19" i="14" s="1"/>
  <c r="B21" i="14"/>
  <c r="F21" i="14"/>
  <c r="I21" i="14"/>
  <c r="Z21" i="16" s="1"/>
  <c r="Z35" i="16" s="1"/>
  <c r="B22" i="14"/>
  <c r="F22" i="14"/>
  <c r="I22" i="14"/>
  <c r="B23" i="14"/>
  <c r="F23" i="14"/>
  <c r="B24" i="14"/>
  <c r="I24" i="14"/>
  <c r="B25" i="14"/>
  <c r="B26" i="14"/>
  <c r="F26" i="14"/>
  <c r="Z8" i="16" s="1"/>
  <c r="T26" i="14"/>
  <c r="I9" i="14" s="1"/>
  <c r="U26" i="14"/>
  <c r="B27" i="14"/>
  <c r="T27" i="14"/>
  <c r="U27" i="14" s="1"/>
  <c r="T28" i="14"/>
  <c r="U28" i="14" s="1"/>
  <c r="F29" i="14"/>
  <c r="L29" i="14"/>
  <c r="C38" i="14" s="1"/>
  <c r="T29" i="14"/>
  <c r="F7" i="14" s="1"/>
  <c r="I30" i="14"/>
  <c r="I29" i="14" s="1"/>
  <c r="C37" i="14" s="1"/>
  <c r="L30" i="14"/>
  <c r="I31" i="14"/>
  <c r="L31" i="14"/>
  <c r="C32" i="14"/>
  <c r="D5" i="16" s="1"/>
  <c r="I32" i="14"/>
  <c r="L32" i="14"/>
  <c r="C33" i="14"/>
  <c r="I33" i="14"/>
  <c r="C34" i="14"/>
  <c r="D7" i="16" s="1"/>
  <c r="I34" i="14"/>
  <c r="T35" i="14"/>
  <c r="T43" i="14" s="1"/>
  <c r="U35" i="14"/>
  <c r="U43" i="14" s="1"/>
  <c r="V35" i="14"/>
  <c r="F8" i="14" s="1"/>
  <c r="V36" i="14"/>
  <c r="T37" i="14"/>
  <c r="V37" i="14"/>
  <c r="U37" i="14" s="1"/>
  <c r="U44" i="14" s="1"/>
  <c r="V38" i="14"/>
  <c r="F25" i="14" s="1"/>
  <c r="T39" i="14"/>
  <c r="T45" i="14" s="1"/>
  <c r="V45" i="14" s="1"/>
  <c r="U39" i="14"/>
  <c r="U45" i="14" s="1"/>
  <c r="V39" i="14"/>
  <c r="C40" i="14"/>
  <c r="D11" i="16" s="1"/>
  <c r="V40" i="14"/>
  <c r="T44" i="14"/>
  <c r="V44" i="14" s="1"/>
  <c r="B45" i="14"/>
  <c r="B46" i="14"/>
  <c r="B47" i="14"/>
  <c r="B48" i="14"/>
  <c r="B49" i="14"/>
  <c r="B50" i="14"/>
  <c r="B51" i="14"/>
  <c r="B52" i="14"/>
  <c r="B53" i="14"/>
  <c r="B54" i="14"/>
  <c r="B55" i="14"/>
  <c r="B56" i="14"/>
  <c r="B57" i="14"/>
  <c r="F6" i="13"/>
  <c r="I6" i="13"/>
  <c r="U6" i="13"/>
  <c r="I7" i="13"/>
  <c r="U7" i="13"/>
  <c r="I8" i="13"/>
  <c r="AA20" i="16" s="1"/>
  <c r="AA34" i="16" s="1"/>
  <c r="U8" i="13"/>
  <c r="U9" i="13" s="1"/>
  <c r="U11" i="13" s="1"/>
  <c r="U12" i="13" s="1"/>
  <c r="C11" i="13" s="1"/>
  <c r="C9" i="13"/>
  <c r="I9" i="13"/>
  <c r="I4" i="13" s="1"/>
  <c r="F4" i="13" s="1"/>
  <c r="F10" i="13"/>
  <c r="I10" i="13"/>
  <c r="AA5" i="16" s="1"/>
  <c r="I11" i="13"/>
  <c r="F12" i="13"/>
  <c r="F13" i="13"/>
  <c r="B16" i="13"/>
  <c r="B17" i="13"/>
  <c r="B18" i="13"/>
  <c r="B19" i="13"/>
  <c r="B20" i="13"/>
  <c r="B21" i="13"/>
  <c r="I21" i="13"/>
  <c r="I20" i="13" s="1"/>
  <c r="F20" i="13" s="1"/>
  <c r="F19" i="13" s="1"/>
  <c r="C5" i="13" s="1"/>
  <c r="B22" i="13"/>
  <c r="F22" i="13"/>
  <c r="I22" i="13"/>
  <c r="AA21" i="16" s="1"/>
  <c r="AA35" i="16" s="1"/>
  <c r="B23" i="13"/>
  <c r="F23" i="13"/>
  <c r="I23" i="13"/>
  <c r="B24" i="13"/>
  <c r="B25" i="13"/>
  <c r="F25" i="13"/>
  <c r="I25" i="13"/>
  <c r="B26" i="13"/>
  <c r="F26" i="13"/>
  <c r="AA8" i="16" s="1"/>
  <c r="T26" i="13"/>
  <c r="U26" i="13" s="1"/>
  <c r="U30" i="13" s="1"/>
  <c r="B27" i="13"/>
  <c r="T27" i="13"/>
  <c r="U27" i="13"/>
  <c r="T28" i="13"/>
  <c r="F7" i="13" s="1"/>
  <c r="U28" i="13"/>
  <c r="F29" i="13"/>
  <c r="T29" i="13"/>
  <c r="U29" i="13"/>
  <c r="I30" i="13"/>
  <c r="L30" i="13"/>
  <c r="L29" i="13" s="1"/>
  <c r="C39" i="13" s="1"/>
  <c r="I31" i="13"/>
  <c r="I29" i="13" s="1"/>
  <c r="C38" i="13" s="1"/>
  <c r="L31" i="13"/>
  <c r="I32" i="13"/>
  <c r="L32" i="13"/>
  <c r="C33" i="13"/>
  <c r="E5" i="16" s="1"/>
  <c r="I33" i="13"/>
  <c r="L33" i="13"/>
  <c r="C34" i="13"/>
  <c r="E6" i="16" s="1"/>
  <c r="I34" i="13"/>
  <c r="L34" i="13"/>
  <c r="C35" i="13"/>
  <c r="T35" i="13"/>
  <c r="T48" i="13" s="1"/>
  <c r="V36" i="13"/>
  <c r="V35" i="13" s="1"/>
  <c r="C37" i="13"/>
  <c r="E12" i="16" s="1"/>
  <c r="V37" i="13"/>
  <c r="V38" i="13"/>
  <c r="V39" i="13"/>
  <c r="C40" i="13"/>
  <c r="E10" i="16" s="1"/>
  <c r="V40" i="13"/>
  <c r="C41" i="13"/>
  <c r="E11" i="16" s="1"/>
  <c r="V41" i="13"/>
  <c r="C42" i="13"/>
  <c r="T42" i="13"/>
  <c r="T49" i="13" s="1"/>
  <c r="V42" i="13"/>
  <c r="V43" i="13"/>
  <c r="C44" i="13"/>
  <c r="E16" i="16" s="1"/>
  <c r="T44" i="13"/>
  <c r="V45" i="13"/>
  <c r="V44" i="13" s="1"/>
  <c r="U44" i="13" s="1"/>
  <c r="U50" i="13" s="1"/>
  <c r="B47" i="13"/>
  <c r="B48" i="13"/>
  <c r="B49" i="13"/>
  <c r="B50" i="13"/>
  <c r="T50" i="13"/>
  <c r="B51" i="13"/>
  <c r="B52" i="13"/>
  <c r="B53" i="13"/>
  <c r="B54" i="13"/>
  <c r="B55" i="13"/>
  <c r="B56" i="13"/>
  <c r="B57" i="13"/>
  <c r="B58" i="13"/>
  <c r="B59" i="13"/>
  <c r="B60" i="13"/>
  <c r="C55" i="12"/>
  <c r="E55" i="12"/>
  <c r="G55" i="12"/>
  <c r="C51" i="7"/>
  <c r="C50" i="7"/>
  <c r="C49" i="7"/>
  <c r="C48" i="7"/>
  <c r="C46" i="7"/>
  <c r="C45" i="7"/>
  <c r="C44" i="7"/>
  <c r="C43" i="7"/>
  <c r="AF78" i="11"/>
  <c r="AF77" i="11" s="1"/>
  <c r="AE78" i="11"/>
  <c r="AE77" i="11" s="1"/>
  <c r="AD78" i="11"/>
  <c r="AD77" i="11" s="1"/>
  <c r="AN76" i="11"/>
  <c r="AG76" i="11"/>
  <c r="AN75" i="11"/>
  <c r="AG75" i="11"/>
  <c r="AN74" i="11"/>
  <c r="AG74" i="11"/>
  <c r="AJ71" i="11"/>
  <c r="AF71" i="11"/>
  <c r="AF70" i="11" s="1"/>
  <c r="Z71" i="11"/>
  <c r="S71" i="11"/>
  <c r="R71" i="11"/>
  <c r="Q71" i="11"/>
  <c r="P71" i="11"/>
  <c r="Z70" i="11"/>
  <c r="Y70" i="11"/>
  <c r="X70" i="11"/>
  <c r="W70" i="11"/>
  <c r="V70" i="11"/>
  <c r="U70" i="11"/>
  <c r="T70" i="11"/>
  <c r="S70" i="11"/>
  <c r="R70" i="11"/>
  <c r="Q70" i="11"/>
  <c r="P70" i="11"/>
  <c r="O70" i="11"/>
  <c r="B70" i="11"/>
  <c r="AN69" i="11"/>
  <c r="AG69" i="11"/>
  <c r="Z69" i="11"/>
  <c r="Y69" i="11"/>
  <c r="X69" i="11"/>
  <c r="W69" i="11"/>
  <c r="V69" i="11"/>
  <c r="U69" i="11"/>
  <c r="T69" i="11"/>
  <c r="S69" i="11"/>
  <c r="R69" i="11"/>
  <c r="Q69" i="11"/>
  <c r="P69" i="11"/>
  <c r="O69" i="11"/>
  <c r="B69" i="11"/>
  <c r="AN68" i="11"/>
  <c r="AG68" i="11"/>
  <c r="Z68" i="11"/>
  <c r="Y68" i="11"/>
  <c r="X68" i="11"/>
  <c r="W68" i="11"/>
  <c r="V68" i="11"/>
  <c r="U68" i="11"/>
  <c r="T68" i="11"/>
  <c r="S68" i="11"/>
  <c r="R68" i="11"/>
  <c r="Q68" i="11"/>
  <c r="P68" i="11"/>
  <c r="O68" i="11"/>
  <c r="B68" i="11"/>
  <c r="AN67" i="11"/>
  <c r="AG67" i="11"/>
  <c r="Z67" i="11"/>
  <c r="Y67" i="11"/>
  <c r="X67" i="11"/>
  <c r="W67" i="11"/>
  <c r="V67" i="11"/>
  <c r="U67" i="11"/>
  <c r="T67" i="11"/>
  <c r="S67" i="11"/>
  <c r="R67" i="11"/>
  <c r="Q67" i="11"/>
  <c r="P67" i="11"/>
  <c r="O67" i="11"/>
  <c r="B67" i="11"/>
  <c r="Z66" i="11"/>
  <c r="Y66" i="11"/>
  <c r="X66" i="11"/>
  <c r="W66" i="11"/>
  <c r="V66" i="11"/>
  <c r="U66" i="11"/>
  <c r="T66" i="11"/>
  <c r="S66" i="11"/>
  <c r="R66" i="11"/>
  <c r="Q66" i="11"/>
  <c r="P66" i="11"/>
  <c r="O66" i="11"/>
  <c r="B66" i="11"/>
  <c r="AM64" i="11"/>
  <c r="AL64" i="11"/>
  <c r="AC64" i="11"/>
  <c r="AM63" i="11"/>
  <c r="AL63" i="11"/>
  <c r="L63" i="11"/>
  <c r="K63" i="11"/>
  <c r="AN62" i="11"/>
  <c r="AG62" i="11"/>
  <c r="Z62" i="11"/>
  <c r="Y62" i="11"/>
  <c r="X62" i="11"/>
  <c r="W62" i="11"/>
  <c r="V62" i="11"/>
  <c r="U62" i="11"/>
  <c r="T62" i="11"/>
  <c r="S62" i="11"/>
  <c r="R62" i="11"/>
  <c r="Q62" i="11"/>
  <c r="P62" i="11"/>
  <c r="O62" i="11"/>
  <c r="N62" i="11"/>
  <c r="M62" i="11"/>
  <c r="L62" i="11"/>
  <c r="K62" i="11"/>
  <c r="J62" i="11"/>
  <c r="I62" i="11"/>
  <c r="H62" i="11"/>
  <c r="G62" i="11"/>
  <c r="F62" i="11"/>
  <c r="E62" i="11"/>
  <c r="D62" i="11"/>
  <c r="B62" i="11"/>
  <c r="AN61" i="11"/>
  <c r="AG61" i="11"/>
  <c r="Z61" i="11"/>
  <c r="Y61" i="11"/>
  <c r="X61" i="11"/>
  <c r="W61" i="11"/>
  <c r="V61" i="11"/>
  <c r="U61" i="11"/>
  <c r="T61" i="11"/>
  <c r="S61" i="11"/>
  <c r="R61" i="11"/>
  <c r="Q61" i="11"/>
  <c r="P61" i="11"/>
  <c r="O61" i="11"/>
  <c r="N61" i="11"/>
  <c r="M61" i="11"/>
  <c r="L61" i="11"/>
  <c r="K61" i="11"/>
  <c r="J61" i="11"/>
  <c r="I61" i="11"/>
  <c r="H61" i="11"/>
  <c r="G61" i="11"/>
  <c r="F61" i="11"/>
  <c r="E61" i="11"/>
  <c r="D61" i="11"/>
  <c r="B61" i="11"/>
  <c r="AN60" i="11"/>
  <c r="AG60" i="11"/>
  <c r="Z60" i="11"/>
  <c r="Y60" i="11"/>
  <c r="X60" i="11"/>
  <c r="W60" i="11"/>
  <c r="V60" i="11"/>
  <c r="U60" i="11"/>
  <c r="T60" i="11"/>
  <c r="S60" i="11"/>
  <c r="R60" i="11"/>
  <c r="Q60" i="11"/>
  <c r="P60" i="11"/>
  <c r="O60" i="11"/>
  <c r="N60" i="11"/>
  <c r="M60" i="11"/>
  <c r="L60" i="11"/>
  <c r="K60" i="11"/>
  <c r="J60" i="11"/>
  <c r="I60" i="11"/>
  <c r="H60" i="11"/>
  <c r="G60" i="11"/>
  <c r="F60" i="11"/>
  <c r="E60" i="11"/>
  <c r="D60" i="11"/>
  <c r="B60" i="11"/>
  <c r="Z59" i="11"/>
  <c r="Y59" i="11"/>
  <c r="X59" i="11"/>
  <c r="W59" i="11"/>
  <c r="V59" i="11"/>
  <c r="U59" i="11"/>
  <c r="T59" i="11"/>
  <c r="S59" i="11"/>
  <c r="R59" i="11"/>
  <c r="Q59" i="11"/>
  <c r="P59" i="11"/>
  <c r="O59" i="11"/>
  <c r="N59" i="11"/>
  <c r="M59" i="11"/>
  <c r="L59" i="11"/>
  <c r="K59" i="11"/>
  <c r="J59" i="11"/>
  <c r="I59" i="11"/>
  <c r="H59" i="11"/>
  <c r="G59" i="11"/>
  <c r="F59" i="11"/>
  <c r="E59" i="11"/>
  <c r="D59" i="11"/>
  <c r="B59" i="11"/>
  <c r="Z58" i="11"/>
  <c r="Y58" i="11"/>
  <c r="X58" i="11"/>
  <c r="W58" i="11"/>
  <c r="V58" i="11"/>
  <c r="U58" i="11"/>
  <c r="T58" i="11"/>
  <c r="S58" i="11"/>
  <c r="R58" i="11"/>
  <c r="Q58" i="11"/>
  <c r="P58" i="11"/>
  <c r="O58" i="11"/>
  <c r="N58" i="11"/>
  <c r="M58" i="11"/>
  <c r="L58" i="11"/>
  <c r="K58" i="11"/>
  <c r="J58" i="11"/>
  <c r="I58" i="11"/>
  <c r="H58" i="11"/>
  <c r="G58" i="11"/>
  <c r="F58" i="11"/>
  <c r="E58" i="11"/>
  <c r="D58" i="11"/>
  <c r="B58" i="11"/>
  <c r="Z55" i="11"/>
  <c r="Y55" i="11"/>
  <c r="X55" i="11"/>
  <c r="N55" i="11"/>
  <c r="M55" i="11"/>
  <c r="L55" i="11"/>
  <c r="U54" i="11"/>
  <c r="T54" i="11"/>
  <c r="S54" i="11"/>
  <c r="R54" i="11"/>
  <c r="P54" i="11"/>
  <c r="O54" i="11"/>
  <c r="I54" i="11"/>
  <c r="H54" i="11"/>
  <c r="G54" i="11"/>
  <c r="F54" i="11"/>
  <c r="D54" i="11"/>
  <c r="C54" i="11"/>
  <c r="AE53" i="11"/>
  <c r="Z53" i="11"/>
  <c r="Y53" i="11"/>
  <c r="R53" i="11"/>
  <c r="Q53" i="11"/>
  <c r="P53" i="11"/>
  <c r="O53" i="11"/>
  <c r="N53" i="11"/>
  <c r="M53" i="11"/>
  <c r="F53" i="11"/>
  <c r="E53" i="11"/>
  <c r="D53" i="11"/>
  <c r="C53" i="11"/>
  <c r="Z52" i="11"/>
  <c r="Y52" i="11"/>
  <c r="X52" i="11"/>
  <c r="N52" i="11"/>
  <c r="M52" i="11"/>
  <c r="L52" i="11"/>
  <c r="U51" i="11"/>
  <c r="T51" i="11"/>
  <c r="S51" i="11"/>
  <c r="R51" i="11"/>
  <c r="P51" i="11"/>
  <c r="O51" i="11"/>
  <c r="I51" i="11"/>
  <c r="H51" i="11"/>
  <c r="G51" i="11"/>
  <c r="F51" i="11"/>
  <c r="D51" i="11"/>
  <c r="C51" i="11"/>
  <c r="BA50" i="11"/>
  <c r="AQ50" i="11"/>
  <c r="AQ49" i="11"/>
  <c r="AQ48" i="11"/>
  <c r="AF48" i="11"/>
  <c r="Z48" i="11"/>
  <c r="Y48" i="11"/>
  <c r="T48" i="11"/>
  <c r="S48" i="11"/>
  <c r="R48" i="11"/>
  <c r="Q48" i="11"/>
  <c r="P48" i="11"/>
  <c r="O48" i="11"/>
  <c r="N48" i="11"/>
  <c r="M48" i="11"/>
  <c r="H48" i="11"/>
  <c r="G48" i="11"/>
  <c r="F48" i="11"/>
  <c r="E48" i="11"/>
  <c r="D48" i="11"/>
  <c r="C48" i="11"/>
  <c r="AQ47" i="11"/>
  <c r="AM46" i="11"/>
  <c r="AL46" i="11"/>
  <c r="AK46" i="11"/>
  <c r="AJ46" i="11"/>
  <c r="AF46" i="11"/>
  <c r="AF55" i="11" s="1"/>
  <c r="AE46" i="11"/>
  <c r="AE55" i="11" s="1"/>
  <c r="AD46" i="11"/>
  <c r="AC46" i="11"/>
  <c r="AM45" i="11"/>
  <c r="AL45" i="11"/>
  <c r="AL54" i="11" s="1"/>
  <c r="AK45" i="11"/>
  <c r="AK40" i="11" s="1"/>
  <c r="AJ45" i="11"/>
  <c r="AF45" i="11"/>
  <c r="AG45" i="11" s="1"/>
  <c r="AE45" i="11"/>
  <c r="AD45" i="11"/>
  <c r="AC45" i="11"/>
  <c r="BB44" i="11"/>
  <c r="BA44" i="11"/>
  <c r="BA48" i="11" s="1"/>
  <c r="AN44" i="11"/>
  <c r="AM44" i="11"/>
  <c r="AM78" i="11" s="1"/>
  <c r="AM77" i="11" s="1"/>
  <c r="AL44" i="11"/>
  <c r="AL78" i="11" s="1"/>
  <c r="AL77" i="11" s="1"/>
  <c r="AK44" i="11"/>
  <c r="AK78" i="11" s="1"/>
  <c r="AK77" i="11" s="1"/>
  <c r="AJ44" i="11"/>
  <c r="AJ78" i="11" s="1"/>
  <c r="AF44" i="11"/>
  <c r="AE44" i="11"/>
  <c r="AD44" i="11"/>
  <c r="AC44" i="11"/>
  <c r="AG44" i="11" s="1"/>
  <c r="BG43" i="11"/>
  <c r="BF43" i="11"/>
  <c r="BE43" i="11"/>
  <c r="AM43" i="11"/>
  <c r="AM71" i="11" s="1"/>
  <c r="AM70" i="11" s="1"/>
  <c r="AL43" i="11"/>
  <c r="AL71" i="11" s="1"/>
  <c r="AL70" i="11" s="1"/>
  <c r="AK43" i="11"/>
  <c r="AK71" i="11" s="1"/>
  <c r="AK70" i="11" s="1"/>
  <c r="AJ43" i="11"/>
  <c r="AF43" i="11"/>
  <c r="AE43" i="11"/>
  <c r="AD43" i="11"/>
  <c r="AC43" i="11"/>
  <c r="BF42" i="11"/>
  <c r="BE42" i="11"/>
  <c r="AM42" i="11"/>
  <c r="AL42" i="11"/>
  <c r="AK42" i="11"/>
  <c r="AK64" i="11" s="1"/>
  <c r="AK63" i="11" s="1"/>
  <c r="AJ42" i="11"/>
  <c r="AG42" i="11"/>
  <c r="AF42" i="11"/>
  <c r="AF40" i="11" s="1"/>
  <c r="AE42" i="11"/>
  <c r="AE40" i="11" s="1"/>
  <c r="AD42" i="11"/>
  <c r="AC42" i="11"/>
  <c r="BG40" i="11"/>
  <c r="AM40" i="11"/>
  <c r="AL40" i="11"/>
  <c r="Z40" i="11"/>
  <c r="Z54" i="11" s="1"/>
  <c r="Y40" i="11"/>
  <c r="Y71" i="11" s="1"/>
  <c r="X40" i="11"/>
  <c r="X53" i="11" s="1"/>
  <c r="W40" i="11"/>
  <c r="W63" i="11" s="1"/>
  <c r="V40" i="11"/>
  <c r="U40" i="11"/>
  <c r="U53" i="11" s="1"/>
  <c r="T40" i="11"/>
  <c r="T55" i="11" s="1"/>
  <c r="S40" i="11"/>
  <c r="S63" i="11" s="1"/>
  <c r="R40" i="11"/>
  <c r="R63" i="11" s="1"/>
  <c r="Q40" i="11"/>
  <c r="Q63" i="11" s="1"/>
  <c r="P40" i="11"/>
  <c r="P63" i="11" s="1"/>
  <c r="O40" i="11"/>
  <c r="O63" i="11" s="1"/>
  <c r="N40" i="11"/>
  <c r="N54" i="11" s="1"/>
  <c r="M40" i="11"/>
  <c r="M54" i="11" s="1"/>
  <c r="L40" i="11"/>
  <c r="L53" i="11" s="1"/>
  <c r="K40" i="11"/>
  <c r="J40" i="11"/>
  <c r="I40" i="11"/>
  <c r="I53" i="11" s="1"/>
  <c r="H40" i="11"/>
  <c r="H55" i="11" s="1"/>
  <c r="G40" i="11"/>
  <c r="G63" i="11" s="1"/>
  <c r="F40" i="11"/>
  <c r="F63" i="11" s="1"/>
  <c r="E40" i="11"/>
  <c r="E63" i="11" s="1"/>
  <c r="D40" i="11"/>
  <c r="D63" i="11" s="1"/>
  <c r="C40" i="11"/>
  <c r="C55" i="11" s="1"/>
  <c r="E34" i="11"/>
  <c r="E35" i="11" s="1"/>
  <c r="F36" i="11" s="1"/>
  <c r="BC42" i="11" s="1"/>
  <c r="F29" i="11"/>
  <c r="E29" i="11"/>
  <c r="E28" i="11"/>
  <c r="E30" i="11" s="1"/>
  <c r="E31" i="11" s="1"/>
  <c r="E33" i="11" s="1"/>
  <c r="F27" i="11"/>
  <c r="E27" i="11"/>
  <c r="E18" i="11"/>
  <c r="D18" i="11"/>
  <c r="E17" i="11"/>
  <c r="E19" i="11" s="1"/>
  <c r="E20" i="11" s="1"/>
  <c r="E22" i="11" s="1"/>
  <c r="E16" i="11"/>
  <c r="D16" i="11"/>
  <c r="D10" i="11"/>
  <c r="D8" i="11"/>
  <c r="F6" i="11"/>
  <c r="F5" i="11"/>
  <c r="F28" i="11" s="1"/>
  <c r="F30" i="11" s="1"/>
  <c r="F31" i="11" s="1"/>
  <c r="F33" i="11" s="1"/>
  <c r="D4" i="11"/>
  <c r="D17" i="11" s="1"/>
  <c r="D3" i="11"/>
  <c r="D9" i="11" s="1"/>
  <c r="D11" i="11" s="1"/>
  <c r="D12" i="11" s="1"/>
  <c r="D14" i="11" s="1"/>
  <c r="K290" i="10"/>
  <c r="K289" i="10"/>
  <c r="K285" i="10"/>
  <c r="K284" i="10"/>
  <c r="B265" i="10"/>
  <c r="B264" i="10"/>
  <c r="B263" i="10"/>
  <c r="B262" i="10"/>
  <c r="B261" i="10"/>
  <c r="B260" i="10"/>
  <c r="E259" i="10"/>
  <c r="E258" i="10"/>
  <c r="I255" i="10" s="1"/>
  <c r="F257" i="10"/>
  <c r="E257" i="10"/>
  <c r="E256" i="10"/>
  <c r="E255" i="10"/>
  <c r="N254" i="10"/>
  <c r="I254" i="10"/>
  <c r="E254" i="10"/>
  <c r="I251" i="10" s="1"/>
  <c r="N253" i="10"/>
  <c r="F256" i="10" s="1"/>
  <c r="I253" i="10"/>
  <c r="I252" i="10"/>
  <c r="D231" i="10"/>
  <c r="B231" i="10"/>
  <c r="B230" i="10"/>
  <c r="B229" i="10"/>
  <c r="D228" i="10"/>
  <c r="B228" i="10"/>
  <c r="D227" i="10"/>
  <c r="B227" i="10"/>
  <c r="D226" i="10"/>
  <c r="B226" i="10"/>
  <c r="D225" i="10"/>
  <c r="B225" i="10"/>
  <c r="B224" i="10"/>
  <c r="B223" i="10"/>
  <c r="D222" i="10"/>
  <c r="B222" i="10"/>
  <c r="D221" i="10"/>
  <c r="B221" i="10"/>
  <c r="Y211" i="10" s="1"/>
  <c r="Z211" i="10" s="1"/>
  <c r="B220" i="10"/>
  <c r="B219" i="10"/>
  <c r="Z215" i="10"/>
  <c r="Z214" i="10"/>
  <c r="Y213" i="10"/>
  <c r="U213" i="10"/>
  <c r="U212" i="10" s="1"/>
  <c r="T213" i="10"/>
  <c r="T212" i="10" s="1"/>
  <c r="S213" i="10"/>
  <c r="R213" i="10"/>
  <c r="Q213" i="10"/>
  <c r="P213" i="10"/>
  <c r="O213" i="10"/>
  <c r="N213" i="10"/>
  <c r="N212" i="10" s="1"/>
  <c r="M213" i="10"/>
  <c r="M212" i="10" s="1"/>
  <c r="L213" i="10"/>
  <c r="L212" i="10" s="1"/>
  <c r="K213" i="10"/>
  <c r="K212" i="10" s="1"/>
  <c r="J213" i="10"/>
  <c r="J212" i="10" s="1"/>
  <c r="S212" i="10"/>
  <c r="R212" i="10"/>
  <c r="Q212" i="10"/>
  <c r="P212" i="10"/>
  <c r="O212" i="10"/>
  <c r="V211" i="10"/>
  <c r="Y210" i="10"/>
  <c r="V210" i="10"/>
  <c r="Y209" i="10"/>
  <c r="V209" i="10"/>
  <c r="V208" i="10"/>
  <c r="D208" i="10"/>
  <c r="D224" i="10" s="1"/>
  <c r="V207" i="10"/>
  <c r="V206" i="10"/>
  <c r="Y205" i="10"/>
  <c r="V205" i="10"/>
  <c r="V204" i="10"/>
  <c r="V203" i="10"/>
  <c r="V202" i="10"/>
  <c r="D202" i="10"/>
  <c r="D230" i="10" s="1"/>
  <c r="V201" i="10"/>
  <c r="V200" i="10"/>
  <c r="B199" i="10"/>
  <c r="Y198" i="10"/>
  <c r="B198" i="10"/>
  <c r="Y197" i="10"/>
  <c r="B197" i="10"/>
  <c r="Y196" i="10"/>
  <c r="B196" i="10"/>
  <c r="B195" i="10"/>
  <c r="B194" i="10"/>
  <c r="B193" i="10"/>
  <c r="L192" i="10"/>
  <c r="K192" i="10"/>
  <c r="J192" i="10"/>
  <c r="B192" i="10"/>
  <c r="M191" i="10"/>
  <c r="B191" i="10"/>
  <c r="Y187" i="10" s="1"/>
  <c r="B190" i="10"/>
  <c r="B189" i="10"/>
  <c r="B188" i="10"/>
  <c r="B187" i="10"/>
  <c r="Y186" i="10"/>
  <c r="U186" i="10"/>
  <c r="T186" i="10"/>
  <c r="T185" i="10" s="1"/>
  <c r="S186" i="10"/>
  <c r="S185" i="10" s="1"/>
  <c r="R186" i="10"/>
  <c r="R185" i="10" s="1"/>
  <c r="Q186" i="10"/>
  <c r="Q185" i="10" s="1"/>
  <c r="P186" i="10"/>
  <c r="P185" i="10" s="1"/>
  <c r="O186" i="10"/>
  <c r="N186" i="10"/>
  <c r="M186" i="10"/>
  <c r="L186" i="10"/>
  <c r="L185" i="10" s="1"/>
  <c r="K186" i="10"/>
  <c r="J186" i="10"/>
  <c r="U185" i="10"/>
  <c r="O185" i="10"/>
  <c r="N185" i="10"/>
  <c r="M185" i="10"/>
  <c r="K185" i="10"/>
  <c r="J185" i="10"/>
  <c r="V185" i="10" s="1"/>
  <c r="Y184" i="10"/>
  <c r="V184" i="10"/>
  <c r="Y183" i="10"/>
  <c r="V183" i="10"/>
  <c r="V182" i="10"/>
  <c r="V181" i="10"/>
  <c r="V180" i="10"/>
  <c r="V179" i="10"/>
  <c r="V178" i="10"/>
  <c r="V177" i="10"/>
  <c r="V176" i="10"/>
  <c r="D176" i="10"/>
  <c r="Y175" i="10"/>
  <c r="V175" i="10"/>
  <c r="V174" i="10"/>
  <c r="Y172" i="10"/>
  <c r="Y171" i="10"/>
  <c r="Y170" i="10"/>
  <c r="B166" i="10"/>
  <c r="B165" i="10"/>
  <c r="B164" i="10"/>
  <c r="Y163" i="10"/>
  <c r="B163" i="10"/>
  <c r="B162" i="10"/>
  <c r="B161" i="10"/>
  <c r="Y153" i="10" s="1"/>
  <c r="B160" i="10"/>
  <c r="Y150" i="10" s="1"/>
  <c r="Y159" i="10"/>
  <c r="B159" i="10"/>
  <c r="B158" i="10"/>
  <c r="B157" i="10"/>
  <c r="Y156" i="10"/>
  <c r="B156" i="10"/>
  <c r="B155" i="10"/>
  <c r="Y158" i="10" s="1"/>
  <c r="B154" i="10"/>
  <c r="Y157" i="10" s="1"/>
  <c r="B153" i="10"/>
  <c r="B152" i="10"/>
  <c r="Y151" i="10"/>
  <c r="B151" i="10"/>
  <c r="B150" i="10"/>
  <c r="Y149" i="10"/>
  <c r="B149" i="10"/>
  <c r="Y147" i="10" s="1"/>
  <c r="B148" i="10"/>
  <c r="Y146" i="10"/>
  <c r="D143" i="10"/>
  <c r="S141" i="10" s="1"/>
  <c r="S140" i="10" s="1"/>
  <c r="T141" i="10"/>
  <c r="R141" i="10"/>
  <c r="Q141" i="10"/>
  <c r="Q140" i="10" s="1"/>
  <c r="P141" i="10"/>
  <c r="O141" i="10"/>
  <c r="N141" i="10"/>
  <c r="M141" i="10"/>
  <c r="M140" i="10" s="1"/>
  <c r="L141" i="10"/>
  <c r="L140" i="10" s="1"/>
  <c r="K141" i="10"/>
  <c r="K140" i="10" s="1"/>
  <c r="J141" i="10"/>
  <c r="T140" i="10"/>
  <c r="R140" i="10"/>
  <c r="P140" i="10"/>
  <c r="O140" i="10"/>
  <c r="N140" i="10"/>
  <c r="V139" i="10"/>
  <c r="V138" i="10"/>
  <c r="Y137" i="10"/>
  <c r="V137" i="10"/>
  <c r="Y136" i="10"/>
  <c r="V136" i="10"/>
  <c r="Y135" i="10"/>
  <c r="V135" i="10"/>
  <c r="Y134" i="10"/>
  <c r="V134" i="10"/>
  <c r="Y133" i="10"/>
  <c r="V133" i="10"/>
  <c r="Y132" i="10"/>
  <c r="V132" i="10"/>
  <c r="Y131" i="10"/>
  <c r="Y130" i="10"/>
  <c r="V130" i="10"/>
  <c r="Y129" i="10"/>
  <c r="V129" i="10"/>
  <c r="Y128" i="10"/>
  <c r="V128" i="10"/>
  <c r="Y127" i="10"/>
  <c r="V127" i="10"/>
  <c r="Y126" i="10"/>
  <c r="Y125" i="10"/>
  <c r="Y124" i="10"/>
  <c r="B122" i="10"/>
  <c r="Y118" i="10" s="1"/>
  <c r="B121" i="10"/>
  <c r="B120" i="10"/>
  <c r="B119" i="10"/>
  <c r="B118" i="10"/>
  <c r="Y109" i="10" s="1"/>
  <c r="B117" i="10"/>
  <c r="B116" i="10"/>
  <c r="B115" i="10"/>
  <c r="B114" i="10"/>
  <c r="Y114" i="10" s="1"/>
  <c r="Y113" i="10"/>
  <c r="B113" i="10"/>
  <c r="B112" i="10"/>
  <c r="Y112" i="10" s="1"/>
  <c r="Y111" i="10"/>
  <c r="B111" i="10"/>
  <c r="Y108" i="10" s="1"/>
  <c r="B110" i="10"/>
  <c r="B109" i="10"/>
  <c r="Y106" i="10" s="1"/>
  <c r="B108" i="10"/>
  <c r="Y107" i="10"/>
  <c r="B107" i="10"/>
  <c r="Y104" i="10" s="1"/>
  <c r="T96" i="10"/>
  <c r="S96" i="10"/>
  <c r="Q96" i="10"/>
  <c r="P96" i="10"/>
  <c r="O96" i="10"/>
  <c r="N96" i="10"/>
  <c r="M96" i="10"/>
  <c r="L96" i="10"/>
  <c r="K96" i="10"/>
  <c r="J96" i="10"/>
  <c r="T95" i="10"/>
  <c r="S95" i="10"/>
  <c r="Q95" i="10"/>
  <c r="P95" i="10"/>
  <c r="O95" i="10"/>
  <c r="N95" i="10"/>
  <c r="M95" i="10"/>
  <c r="L95" i="10"/>
  <c r="K95" i="10"/>
  <c r="J95" i="10"/>
  <c r="V94" i="10"/>
  <c r="Y93" i="10"/>
  <c r="Y21" i="10" s="1"/>
  <c r="V93" i="10"/>
  <c r="T93" i="10"/>
  <c r="Y92" i="10"/>
  <c r="V92" i="10"/>
  <c r="Y91" i="10"/>
  <c r="V91" i="10"/>
  <c r="Y90" i="10"/>
  <c r="V90" i="10"/>
  <c r="Y89" i="10"/>
  <c r="U89" i="10"/>
  <c r="V89" i="10" s="1"/>
  <c r="Y88" i="10"/>
  <c r="Y16" i="10" s="1"/>
  <c r="V88" i="10"/>
  <c r="Y87" i="10"/>
  <c r="Y15" i="10" s="1"/>
  <c r="V87" i="10"/>
  <c r="Y86" i="10"/>
  <c r="Y14" i="10" s="1"/>
  <c r="V86" i="10"/>
  <c r="Y85" i="10"/>
  <c r="Y13" i="10" s="1"/>
  <c r="V85" i="10"/>
  <c r="Y84" i="10"/>
  <c r="Y83" i="10"/>
  <c r="Y11" i="10" s="1"/>
  <c r="C75" i="10"/>
  <c r="H74" i="10"/>
  <c r="G74" i="10"/>
  <c r="F74" i="10"/>
  <c r="E74" i="10"/>
  <c r="D74" i="10"/>
  <c r="F66" i="10"/>
  <c r="H61" i="10"/>
  <c r="E61" i="10"/>
  <c r="D61" i="10"/>
  <c r="C61" i="10"/>
  <c r="G61" i="10"/>
  <c r="F61" i="10"/>
  <c r="H50" i="10"/>
  <c r="G50" i="10"/>
  <c r="F50" i="10"/>
  <c r="E50" i="10"/>
  <c r="D50" i="10"/>
  <c r="H45" i="10"/>
  <c r="G45" i="10"/>
  <c r="B45" i="10"/>
  <c r="F44" i="10"/>
  <c r="E44" i="10"/>
  <c r="D44" i="10"/>
  <c r="B44" i="10"/>
  <c r="F43" i="10"/>
  <c r="E43" i="10"/>
  <c r="D43" i="10"/>
  <c r="B43" i="10"/>
  <c r="E42" i="10"/>
  <c r="D42" i="10"/>
  <c r="B42" i="10"/>
  <c r="E41" i="10"/>
  <c r="D41" i="10"/>
  <c r="B41" i="10"/>
  <c r="D40" i="10"/>
  <c r="B40" i="10"/>
  <c r="H39" i="10"/>
  <c r="G39" i="10"/>
  <c r="F39" i="10"/>
  <c r="E39" i="10"/>
  <c r="D39" i="10"/>
  <c r="B39" i="10"/>
  <c r="H38" i="10"/>
  <c r="G38" i="10"/>
  <c r="F38" i="10"/>
  <c r="E38" i="10"/>
  <c r="D38" i="10"/>
  <c r="B38" i="10"/>
  <c r="H37" i="10"/>
  <c r="G37" i="10"/>
  <c r="F37" i="10"/>
  <c r="D37" i="10"/>
  <c r="B37" i="10"/>
  <c r="E36" i="10"/>
  <c r="D36" i="10"/>
  <c r="B36" i="10"/>
  <c r="H35" i="10"/>
  <c r="E35" i="10"/>
  <c r="D35" i="10"/>
  <c r="B35" i="10"/>
  <c r="H34" i="10"/>
  <c r="G34" i="10"/>
  <c r="B34" i="10"/>
  <c r="F33" i="10"/>
  <c r="E33" i="10"/>
  <c r="B33" i="10"/>
  <c r="B32" i="10"/>
  <c r="B31" i="10"/>
  <c r="B30" i="10"/>
  <c r="H27" i="10"/>
  <c r="G27" i="10"/>
  <c r="F27" i="10"/>
  <c r="E27" i="10"/>
  <c r="F26" i="10"/>
  <c r="G25" i="10"/>
  <c r="G43" i="10" s="1"/>
  <c r="F25" i="10"/>
  <c r="H23" i="10"/>
  <c r="E22" i="10"/>
  <c r="E40" i="10" s="1"/>
  <c r="Z20" i="10"/>
  <c r="Y19" i="10"/>
  <c r="H18" i="10"/>
  <c r="G18" i="10"/>
  <c r="G36" i="10" s="1"/>
  <c r="F18" i="10"/>
  <c r="F36" i="10" s="1"/>
  <c r="E18" i="10"/>
  <c r="U131" i="10" s="1"/>
  <c r="V131" i="10" s="1"/>
  <c r="D18" i="10"/>
  <c r="C18" i="10"/>
  <c r="C11" i="10" s="1"/>
  <c r="C47" i="10" s="1"/>
  <c r="Y17" i="10"/>
  <c r="G17" i="10"/>
  <c r="F16" i="10"/>
  <c r="F35" i="10" s="1"/>
  <c r="E15" i="10"/>
  <c r="F34" i="10" s="1"/>
  <c r="D15" i="10"/>
  <c r="E34" i="10" s="1"/>
  <c r="G14" i="10"/>
  <c r="F14" i="10"/>
  <c r="G33" i="10" s="1"/>
  <c r="E14" i="10"/>
  <c r="D14" i="10"/>
  <c r="D33" i="10" s="1"/>
  <c r="Y12" i="10"/>
  <c r="J11" i="10"/>
  <c r="D27" i="10"/>
  <c r="H14" i="10"/>
  <c r="H33" i="10" s="1"/>
  <c r="D47" i="10"/>
  <c r="G13" i="10"/>
  <c r="G12" i="10" s="1"/>
  <c r="G11" i="10" s="1"/>
  <c r="F47" i="10"/>
  <c r="E13" i="10"/>
  <c r="D13" i="10"/>
  <c r="CO29" i="2"/>
  <c r="CS26" i="2"/>
  <c r="CS29" i="2" s="1"/>
  <c r="CO26" i="2"/>
  <c r="CO25" i="2"/>
  <c r="CO28" i="2" s="1"/>
  <c r="CS17" i="2"/>
  <c r="CS16" i="2"/>
  <c r="CS25" i="2" s="1"/>
  <c r="CS28" i="2" s="1"/>
  <c r="F9" i="13" l="1"/>
  <c r="U35" i="13"/>
  <c r="U48" i="13" s="1"/>
  <c r="E14" i="16"/>
  <c r="D10" i="16"/>
  <c r="V43" i="15"/>
  <c r="V42" i="15" s="1"/>
  <c r="AA40" i="16"/>
  <c r="V50" i="13"/>
  <c r="C10" i="16"/>
  <c r="Z61" i="16"/>
  <c r="G5" i="16"/>
  <c r="T47" i="13"/>
  <c r="V48" i="13"/>
  <c r="G11" i="16"/>
  <c r="G6" i="16"/>
  <c r="C35" i="14"/>
  <c r="AA83" i="16"/>
  <c r="Y61" i="16"/>
  <c r="D12" i="16"/>
  <c r="C13" i="16"/>
  <c r="F18" i="15"/>
  <c r="C5" i="15" s="1"/>
  <c r="AA13" i="16"/>
  <c r="G10" i="16"/>
  <c r="E37" i="16"/>
  <c r="E40" i="16" s="1"/>
  <c r="F18" i="14"/>
  <c r="C5" i="14" s="1"/>
  <c r="Y40" i="16"/>
  <c r="T42" i="15"/>
  <c r="V44" i="15"/>
  <c r="D13" i="16"/>
  <c r="U35" i="15"/>
  <c r="U43" i="15" s="1"/>
  <c r="F8" i="15"/>
  <c r="AA15" i="16"/>
  <c r="V43" i="14"/>
  <c r="V42" i="14" s="1"/>
  <c r="U42" i="14" s="1"/>
  <c r="T42" i="14"/>
  <c r="G16" i="16"/>
  <c r="AA9" i="16"/>
  <c r="D14" i="16"/>
  <c r="F3" i="15"/>
  <c r="C4" i="15" s="1"/>
  <c r="AA62" i="16"/>
  <c r="E13" i="16"/>
  <c r="F3" i="13"/>
  <c r="C4" i="13" s="1"/>
  <c r="G7" i="16"/>
  <c r="C14" i="16"/>
  <c r="F23" i="15"/>
  <c r="Z20" i="16"/>
  <c r="Z34" i="16" s="1"/>
  <c r="Z40" i="16" s="1"/>
  <c r="Z41" i="16" s="1"/>
  <c r="I4" i="14"/>
  <c r="F4" i="14" s="1"/>
  <c r="F3" i="14" s="1"/>
  <c r="C4" i="14" s="1"/>
  <c r="F7" i="15"/>
  <c r="C35" i="15" s="1"/>
  <c r="U42" i="13"/>
  <c r="U49" i="13" s="1"/>
  <c r="V49" i="13" s="1"/>
  <c r="C36" i="13"/>
  <c r="U29" i="14"/>
  <c r="U30" i="14" s="1"/>
  <c r="BG42" i="11"/>
  <c r="BC44" i="11"/>
  <c r="E12" i="10"/>
  <c r="D125" i="10"/>
  <c r="E75" i="10"/>
  <c r="H36" i="10"/>
  <c r="AJ64" i="11"/>
  <c r="AN42" i="11"/>
  <c r="AJ40" i="11"/>
  <c r="AN71" i="11"/>
  <c r="AN70" i="11" s="1"/>
  <c r="F45" i="10"/>
  <c r="E45" i="10"/>
  <c r="Z219" i="10"/>
  <c r="AL48" i="11"/>
  <c r="AL52" i="11"/>
  <c r="AM54" i="11"/>
  <c r="H47" i="10"/>
  <c r="H13" i="10"/>
  <c r="AM48" i="11"/>
  <c r="AM51" i="11"/>
  <c r="AY41" i="11"/>
  <c r="AM52" i="11"/>
  <c r="D48" i="10"/>
  <c r="G35" i="10"/>
  <c r="Z198" i="10"/>
  <c r="G26" i="10"/>
  <c r="G44" i="10" s="1"/>
  <c r="AK52" i="11"/>
  <c r="AK48" i="11"/>
  <c r="AK54" i="11"/>
  <c r="H26" i="10"/>
  <c r="H44" i="10" s="1"/>
  <c r="Y148" i="10"/>
  <c r="AX41" i="11"/>
  <c r="F13" i="10"/>
  <c r="Y105" i="10"/>
  <c r="AJ55" i="11"/>
  <c r="AK51" i="11"/>
  <c r="BB48" i="11"/>
  <c r="BB47" i="11"/>
  <c r="BB50" i="11"/>
  <c r="BB49" i="11"/>
  <c r="G47" i="10"/>
  <c r="G48" i="10" s="1"/>
  <c r="Z33" i="10"/>
  <c r="AD71" i="11"/>
  <c r="AD70" i="11" s="1"/>
  <c r="AK55" i="11"/>
  <c r="AL51" i="11"/>
  <c r="Y212" i="10"/>
  <c r="Z212" i="10" s="1"/>
  <c r="AW41" i="11"/>
  <c r="Y185" i="10"/>
  <c r="D19" i="11"/>
  <c r="D20" i="11" s="1"/>
  <c r="D22" i="11" s="1"/>
  <c r="J53" i="11"/>
  <c r="J48" i="11"/>
  <c r="J54" i="11"/>
  <c r="J51" i="11"/>
  <c r="J63" i="11"/>
  <c r="J55" i="11"/>
  <c r="J52" i="11"/>
  <c r="V53" i="11"/>
  <c r="V71" i="11"/>
  <c r="V48" i="11"/>
  <c r="V54" i="11"/>
  <c r="V51" i="11"/>
  <c r="V63" i="11"/>
  <c r="V55" i="11"/>
  <c r="V52" i="11"/>
  <c r="AT40" i="11"/>
  <c r="AE48" i="11"/>
  <c r="AE54" i="11"/>
  <c r="AE52" i="11"/>
  <c r="AE71" i="11"/>
  <c r="AE70" i="11" s="1"/>
  <c r="AL55" i="11"/>
  <c r="G32" i="10"/>
  <c r="V186" i="10"/>
  <c r="Z173" i="10" s="1"/>
  <c r="V212" i="10"/>
  <c r="E260" i="10"/>
  <c r="K53" i="11"/>
  <c r="K48" i="11"/>
  <c r="K54" i="11"/>
  <c r="K51" i="11"/>
  <c r="K55" i="11"/>
  <c r="K52" i="11"/>
  <c r="W53" i="11"/>
  <c r="W71" i="11"/>
  <c r="W48" i="11"/>
  <c r="W54" i="11"/>
  <c r="W51" i="11"/>
  <c r="W55" i="11"/>
  <c r="W52" i="11"/>
  <c r="AF53" i="11"/>
  <c r="AF54" i="11"/>
  <c r="AF52" i="11"/>
  <c r="AN78" i="11"/>
  <c r="AJ77" i="11"/>
  <c r="AN77" i="11" s="1"/>
  <c r="AM55" i="11"/>
  <c r="X63" i="11"/>
  <c r="D32" i="10"/>
  <c r="D75" i="10"/>
  <c r="D12" i="10"/>
  <c r="D87" i="10"/>
  <c r="AN45" i="11"/>
  <c r="J140" i="10"/>
  <c r="D170" i="10"/>
  <c r="V213" i="10"/>
  <c r="Z203" i="10" s="1"/>
  <c r="D220" i="10"/>
  <c r="Z210" i="10" s="1"/>
  <c r="AN43" i="11"/>
  <c r="AG46" i="11"/>
  <c r="BA49" i="11"/>
  <c r="E51" i="11"/>
  <c r="Q51" i="11"/>
  <c r="AE51" i="11"/>
  <c r="I52" i="11"/>
  <c r="U52" i="11"/>
  <c r="E54" i="11"/>
  <c r="Q54" i="11"/>
  <c r="I55" i="11"/>
  <c r="U55" i="11"/>
  <c r="H63" i="11"/>
  <c r="T63" i="11"/>
  <c r="O71" i="11"/>
  <c r="AC71" i="11"/>
  <c r="AF51" i="11"/>
  <c r="I63" i="11"/>
  <c r="U63" i="11"/>
  <c r="AJ54" i="11"/>
  <c r="AC78" i="11"/>
  <c r="Z216" i="10"/>
  <c r="M63" i="11"/>
  <c r="Y63" i="11"/>
  <c r="T71" i="11"/>
  <c r="E47" i="10"/>
  <c r="E48" i="10" s="1"/>
  <c r="Z217" i="10"/>
  <c r="AG43" i="11"/>
  <c r="AN46" i="11"/>
  <c r="BA47" i="11"/>
  <c r="I48" i="11"/>
  <c r="U48" i="11"/>
  <c r="C52" i="11"/>
  <c r="O52" i="11"/>
  <c r="G53" i="11"/>
  <c r="S53" i="11"/>
  <c r="AJ53" i="11"/>
  <c r="O55" i="11"/>
  <c r="N63" i="11"/>
  <c r="Z63" i="11"/>
  <c r="AD64" i="11"/>
  <c r="AD63" i="11" s="1"/>
  <c r="U71" i="11"/>
  <c r="D164" i="10"/>
  <c r="Z161" i="10" s="1"/>
  <c r="D223" i="10"/>
  <c r="Z213" i="10" s="1"/>
  <c r="D229" i="10"/>
  <c r="Z218" i="10" s="1"/>
  <c r="L51" i="11"/>
  <c r="X51" i="11"/>
  <c r="D52" i="11"/>
  <c r="P52" i="11"/>
  <c r="H53" i="11"/>
  <c r="T53" i="11"/>
  <c r="AK53" i="11"/>
  <c r="L54" i="11"/>
  <c r="X54" i="11"/>
  <c r="D55" i="11"/>
  <c r="P55" i="11"/>
  <c r="AC63" i="11"/>
  <c r="AE64" i="11"/>
  <c r="AE63" i="11" s="1"/>
  <c r="AJ70" i="11"/>
  <c r="AC40" i="11"/>
  <c r="AC53" i="11" s="1"/>
  <c r="M51" i="11"/>
  <c r="Y51" i="11"/>
  <c r="E52" i="11"/>
  <c r="Q52" i="11"/>
  <c r="AL53" i="11"/>
  <c r="Y54" i="11"/>
  <c r="E55" i="11"/>
  <c r="Q55" i="11"/>
  <c r="AF64" i="11"/>
  <c r="AF63" i="11" s="1"/>
  <c r="D34" i="10"/>
  <c r="D219" i="10"/>
  <c r="Z209" i="10" s="1"/>
  <c r="AD40" i="11"/>
  <c r="L48" i="11"/>
  <c r="X48" i="11"/>
  <c r="N51" i="11"/>
  <c r="Z51" i="11"/>
  <c r="F52" i="11"/>
  <c r="R52" i="11"/>
  <c r="AM53" i="11"/>
  <c r="F55" i="11"/>
  <c r="R55" i="11"/>
  <c r="X71" i="11"/>
  <c r="G52" i="11"/>
  <c r="S52" i="11"/>
  <c r="G55" i="11"/>
  <c r="S55" i="11"/>
  <c r="H52" i="11"/>
  <c r="T52" i="11"/>
  <c r="C9" i="16" l="1"/>
  <c r="Z62" i="16"/>
  <c r="Z13" i="16"/>
  <c r="Z15" i="16" s="1"/>
  <c r="AA17" i="16" s="1"/>
  <c r="D37" i="16"/>
  <c r="D40" i="16" s="1"/>
  <c r="D42" i="16" s="1"/>
  <c r="C37" i="16"/>
  <c r="Y13" i="16"/>
  <c r="Y15" i="16" s="1"/>
  <c r="E9" i="16"/>
  <c r="C14" i="15"/>
  <c r="C17" i="15" s="1"/>
  <c r="U42" i="15"/>
  <c r="C18" i="15"/>
  <c r="G13" i="16"/>
  <c r="E42" i="16"/>
  <c r="G12" i="16"/>
  <c r="AA41" i="16"/>
  <c r="G14" i="16"/>
  <c r="C14" i="14"/>
  <c r="C17" i="14"/>
  <c r="C14" i="13"/>
  <c r="C17" i="13" s="1"/>
  <c r="V47" i="13"/>
  <c r="U47" i="13" s="1"/>
  <c r="D9" i="16"/>
  <c r="AG64" i="11"/>
  <c r="Z220" i="10"/>
  <c r="D31" i="10"/>
  <c r="D11" i="10"/>
  <c r="AT44" i="11"/>
  <c r="L191" i="10"/>
  <c r="L190" i="10" s="1"/>
  <c r="F32" i="10"/>
  <c r="F12" i="10"/>
  <c r="AY44" i="11"/>
  <c r="F48" i="10"/>
  <c r="Z170" i="10"/>
  <c r="N190" i="10"/>
  <c r="Z171" i="10"/>
  <c r="Z172" i="10"/>
  <c r="AJ52" i="11"/>
  <c r="AJ48" i="11"/>
  <c r="AC70" i="11"/>
  <c r="AG71" i="11"/>
  <c r="AG70" i="11" s="1"/>
  <c r="AG63" i="11"/>
  <c r="AX44" i="11"/>
  <c r="AX48" i="11" s="1"/>
  <c r="AJ51" i="11"/>
  <c r="D120" i="10"/>
  <c r="Z116" i="10" s="1"/>
  <c r="D116" i="10"/>
  <c r="Z110" i="10" s="1"/>
  <c r="D119" i="10"/>
  <c r="Z115" i="10" s="1"/>
  <c r="D109" i="10"/>
  <c r="Z106" i="10" s="1"/>
  <c r="Z31" i="10" s="1"/>
  <c r="D118" i="10"/>
  <c r="Z109" i="10" s="1"/>
  <c r="Z35" i="10" s="1"/>
  <c r="D108" i="10"/>
  <c r="D121" i="10"/>
  <c r="Z117" i="10" s="1"/>
  <c r="D110" i="10"/>
  <c r="Z107" i="10" s="1"/>
  <c r="Z32" i="10" s="1"/>
  <c r="D107" i="10"/>
  <c r="Z104" i="10" s="1"/>
  <c r="D113" i="10"/>
  <c r="Z113" i="10" s="1"/>
  <c r="D92" i="10"/>
  <c r="D117" i="10"/>
  <c r="D112" i="10"/>
  <c r="Z112" i="10" s="1"/>
  <c r="D111" i="10"/>
  <c r="Z108" i="10" s="1"/>
  <c r="Z34" i="10" s="1"/>
  <c r="D114" i="10"/>
  <c r="Z114" i="10" s="1"/>
  <c r="D115" i="10"/>
  <c r="Z111" i="10" s="1"/>
  <c r="Z201" i="10"/>
  <c r="Z196" i="10"/>
  <c r="Z199" i="10"/>
  <c r="Z202" i="10"/>
  <c r="Z204" i="10"/>
  <c r="AC52" i="11"/>
  <c r="Z200" i="10"/>
  <c r="Z197" i="10"/>
  <c r="AO42" i="11"/>
  <c r="AN40" i="11"/>
  <c r="AC51" i="11"/>
  <c r="AN64" i="11"/>
  <c r="AJ63" i="11"/>
  <c r="AN63" i="11" s="1"/>
  <c r="AD54" i="11"/>
  <c r="AS40" i="11"/>
  <c r="AD48" i="11"/>
  <c r="AD53" i="11"/>
  <c r="AW44" i="11"/>
  <c r="AW48" i="11" s="1"/>
  <c r="AD52" i="11"/>
  <c r="Z174" i="10"/>
  <c r="H32" i="10"/>
  <c r="H12" i="10"/>
  <c r="D155" i="10"/>
  <c r="Z158" i="10" s="1"/>
  <c r="D158" i="10"/>
  <c r="Z155" i="10" s="1"/>
  <c r="D165" i="10"/>
  <c r="Z162" i="10" s="1"/>
  <c r="D161" i="10"/>
  <c r="Z153" i="10" s="1"/>
  <c r="AA35" i="10" s="1"/>
  <c r="D151" i="10"/>
  <c r="Z149" i="10" s="1"/>
  <c r="AA32" i="10" s="1"/>
  <c r="D148" i="10"/>
  <c r="Z146" i="10" s="1"/>
  <c r="D154" i="10"/>
  <c r="Z157" i="10" s="1"/>
  <c r="D130" i="10"/>
  <c r="D150" i="10"/>
  <c r="Z148" i="10" s="1"/>
  <c r="AA31" i="10" s="1"/>
  <c r="D160" i="10"/>
  <c r="Z150" i="10" s="1"/>
  <c r="AA33" i="10" s="1"/>
  <c r="D157" i="10"/>
  <c r="Z156" i="10" s="1"/>
  <c r="AA36" i="10" s="1"/>
  <c r="D159" i="10"/>
  <c r="D156" i="10"/>
  <c r="Z159" i="10" s="1"/>
  <c r="D152" i="10"/>
  <c r="Z151" i="10" s="1"/>
  <c r="D149" i="10"/>
  <c r="Z147" i="10" s="1"/>
  <c r="AA30" i="10" s="1"/>
  <c r="D162" i="10"/>
  <c r="Z154" i="10" s="1"/>
  <c r="D153" i="10"/>
  <c r="Z152" i="10" s="1"/>
  <c r="D163" i="10"/>
  <c r="Z160" i="10" s="1"/>
  <c r="D193" i="10"/>
  <c r="Z188" i="10" s="1"/>
  <c r="D187" i="10"/>
  <c r="Z183" i="10" s="1"/>
  <c r="D197" i="10"/>
  <c r="D190" i="10"/>
  <c r="Z186" i="10" s="1"/>
  <c r="D189" i="10"/>
  <c r="Z185" i="10" s="1"/>
  <c r="D195" i="10"/>
  <c r="Z190" i="10" s="1"/>
  <c r="D188" i="10"/>
  <c r="Z184" i="10" s="1"/>
  <c r="D198" i="10"/>
  <c r="D194" i="10"/>
  <c r="Z189" i="10" s="1"/>
  <c r="F65" i="10"/>
  <c r="D199" i="10"/>
  <c r="D191" i="10"/>
  <c r="Z187" i="10" s="1"/>
  <c r="D196" i="10"/>
  <c r="Z191" i="10" s="1"/>
  <c r="AD51" i="11"/>
  <c r="Z105" i="10"/>
  <c r="Z30" i="10" s="1"/>
  <c r="H48" i="10"/>
  <c r="D192" i="10"/>
  <c r="E31" i="10"/>
  <c r="E11" i="10"/>
  <c r="E30" i="10" s="1"/>
  <c r="BC48" i="11"/>
  <c r="BC47" i="11"/>
  <c r="BC50" i="11"/>
  <c r="AC54" i="11"/>
  <c r="AR40" i="11"/>
  <c r="AC48" i="11"/>
  <c r="AG78" i="11"/>
  <c r="AC77" i="11"/>
  <c r="AG77" i="11" s="1"/>
  <c r="AH43" i="11"/>
  <c r="AG40" i="11"/>
  <c r="AA34" i="10"/>
  <c r="AD55" i="11"/>
  <c r="H25" i="10"/>
  <c r="H43" i="10" s="1"/>
  <c r="AC55" i="11"/>
  <c r="BC49" i="11"/>
  <c r="G9" i="16" l="1"/>
  <c r="C43" i="14"/>
  <c r="C26" i="14"/>
  <c r="C23" i="14"/>
  <c r="C20" i="14"/>
  <c r="C19" i="14"/>
  <c r="C21" i="14"/>
  <c r="D17" i="16"/>
  <c r="Z16" i="16" s="1"/>
  <c r="C25" i="14"/>
  <c r="C24" i="14"/>
  <c r="C22" i="14"/>
  <c r="C45" i="13"/>
  <c r="C21" i="13"/>
  <c r="C25" i="13"/>
  <c r="C22" i="13"/>
  <c r="C19" i="13"/>
  <c r="C26" i="13"/>
  <c r="E17" i="16"/>
  <c r="C23" i="13"/>
  <c r="C20" i="13"/>
  <c r="C18" i="13"/>
  <c r="C24" i="13"/>
  <c r="C18" i="14"/>
  <c r="C27" i="14" s="1"/>
  <c r="C40" i="16"/>
  <c r="C42" i="16" s="1"/>
  <c r="Y16" i="16"/>
  <c r="Z17" i="16"/>
  <c r="C21" i="15"/>
  <c r="C25" i="15"/>
  <c r="C22" i="15"/>
  <c r="C26" i="15"/>
  <c r="C43" i="15"/>
  <c r="C19" i="15"/>
  <c r="C27" i="15" s="1"/>
  <c r="C17" i="16"/>
  <c r="C23" i="15"/>
  <c r="C20" i="15"/>
  <c r="C24" i="15"/>
  <c r="C25" i="16"/>
  <c r="AN48" i="11"/>
  <c r="AO44" i="11"/>
  <c r="Z36" i="10"/>
  <c r="F31" i="10"/>
  <c r="F11" i="10"/>
  <c r="G31" i="10"/>
  <c r="BE40" i="11"/>
  <c r="AR44" i="11"/>
  <c r="J191" i="10"/>
  <c r="AV40" i="11"/>
  <c r="AT50" i="11"/>
  <c r="AT49" i="11"/>
  <c r="AT48" i="11"/>
  <c r="H11" i="10"/>
  <c r="H30" i="10" s="1"/>
  <c r="H31" i="10"/>
  <c r="AW49" i="11"/>
  <c r="AW47" i="11"/>
  <c r="AW50" i="11"/>
  <c r="AT47" i="11"/>
  <c r="Z192" i="10"/>
  <c r="Z37" i="10"/>
  <c r="AU41" i="11"/>
  <c r="AH42" i="11"/>
  <c r="AG48" i="11"/>
  <c r="AH45" i="11"/>
  <c r="AH44" i="11"/>
  <c r="D104" i="10"/>
  <c r="D122" i="10" s="1"/>
  <c r="U96" i="10"/>
  <c r="AX49" i="11"/>
  <c r="AX50" i="11"/>
  <c r="AX47" i="11"/>
  <c r="Z175" i="10"/>
  <c r="G65" i="10"/>
  <c r="F64" i="10"/>
  <c r="F70" i="10" s="1"/>
  <c r="AS44" i="11"/>
  <c r="K191" i="10"/>
  <c r="K190" i="10" s="1"/>
  <c r="Z118" i="10"/>
  <c r="Z29" i="10"/>
  <c r="Z38" i="10" s="1"/>
  <c r="AO43" i="11"/>
  <c r="N35" i="11"/>
  <c r="AO45" i="11"/>
  <c r="Z163" i="10"/>
  <c r="AA29" i="10"/>
  <c r="AA37" i="10"/>
  <c r="Z205" i="10"/>
  <c r="AH46" i="11"/>
  <c r="AY49" i="11"/>
  <c r="AY50" i="11"/>
  <c r="AY47" i="11"/>
  <c r="AO46" i="11"/>
  <c r="U141" i="10"/>
  <c r="D145" i="10"/>
  <c r="D166" i="10" s="1"/>
  <c r="H75" i="10"/>
  <c r="Z35" i="11"/>
  <c r="AY48" i="11"/>
  <c r="C27" i="13" l="1"/>
  <c r="E23" i="16"/>
  <c r="E18" i="16"/>
  <c r="E34" i="16"/>
  <c r="E15" i="16"/>
  <c r="G17" i="16"/>
  <c r="E28" i="16"/>
  <c r="E27" i="16"/>
  <c r="E22" i="16"/>
  <c r="E24" i="16"/>
  <c r="E26" i="16"/>
  <c r="E33" i="16"/>
  <c r="E21" i="16"/>
  <c r="E29" i="16"/>
  <c r="E30" i="16"/>
  <c r="AA16" i="16"/>
  <c r="D18" i="16"/>
  <c r="D33" i="16"/>
  <c r="D34" i="16"/>
  <c r="D15" i="16"/>
  <c r="D32" i="16" s="1"/>
  <c r="D22" i="16"/>
  <c r="D23" i="16"/>
  <c r="D27" i="16"/>
  <c r="D24" i="16"/>
  <c r="D21" i="16"/>
  <c r="D29" i="16"/>
  <c r="D26" i="16"/>
  <c r="D30" i="16"/>
  <c r="D28" i="16"/>
  <c r="C46" i="14"/>
  <c r="C47" i="14"/>
  <c r="C48" i="14"/>
  <c r="C54" i="14"/>
  <c r="C41" i="14"/>
  <c r="C55" i="14" s="1"/>
  <c r="C56" i="14"/>
  <c r="C57" i="14"/>
  <c r="C50" i="14"/>
  <c r="C51" i="14"/>
  <c r="C52" i="14"/>
  <c r="C53" i="14"/>
  <c r="C49" i="14"/>
  <c r="C49" i="13"/>
  <c r="C59" i="13"/>
  <c r="C60" i="13"/>
  <c r="C43" i="13"/>
  <c r="C58" i="13" s="1"/>
  <c r="C57" i="13"/>
  <c r="C56" i="13"/>
  <c r="C48" i="13"/>
  <c r="C52" i="13"/>
  <c r="C54" i="13"/>
  <c r="C55" i="13"/>
  <c r="C50" i="13"/>
  <c r="C53" i="13"/>
  <c r="C51" i="13"/>
  <c r="E25" i="16"/>
  <c r="D25" i="16"/>
  <c r="C34" i="16"/>
  <c r="C15" i="16"/>
  <c r="C32" i="16" s="1"/>
  <c r="C22" i="16"/>
  <c r="C23" i="16"/>
  <c r="C21" i="16"/>
  <c r="C28" i="16"/>
  <c r="C27" i="16"/>
  <c r="C24" i="16"/>
  <c r="C33" i="16"/>
  <c r="C29" i="16"/>
  <c r="C30" i="16"/>
  <c r="C26" i="16"/>
  <c r="C41" i="15"/>
  <c r="C55" i="15" s="1"/>
  <c r="C56" i="15"/>
  <c r="C57" i="15"/>
  <c r="C46" i="15"/>
  <c r="C48" i="15"/>
  <c r="C54" i="15"/>
  <c r="C51" i="15"/>
  <c r="C47" i="15"/>
  <c r="C53" i="15"/>
  <c r="C52" i="15"/>
  <c r="C50" i="15"/>
  <c r="C49" i="15"/>
  <c r="AU44" i="11"/>
  <c r="BE41" i="11"/>
  <c r="M192" i="10"/>
  <c r="AU48" i="11"/>
  <c r="D23" i="11"/>
  <c r="D24" i="11" s="1"/>
  <c r="E25" i="11" s="1"/>
  <c r="N191" i="10"/>
  <c r="O191" i="10" s="1"/>
  <c r="J190" i="10"/>
  <c r="BF40" i="11"/>
  <c r="AV41" i="11"/>
  <c r="AV44" i="11" s="1"/>
  <c r="AR48" i="11"/>
  <c r="AR50" i="11"/>
  <c r="BE44" i="11"/>
  <c r="AR49" i="11"/>
  <c r="BE47" i="11"/>
  <c r="F23" i="10"/>
  <c r="AA38" i="10"/>
  <c r="F30" i="10"/>
  <c r="G30" i="10"/>
  <c r="F69" i="10"/>
  <c r="U140" i="10"/>
  <c r="V140" i="10" s="1"/>
  <c r="Z137" i="10" s="1"/>
  <c r="AA21" i="10" s="1"/>
  <c r="V141" i="10"/>
  <c r="G66" i="10"/>
  <c r="G70" i="10" s="1"/>
  <c r="G69" i="10"/>
  <c r="U95" i="10"/>
  <c r="V95" i="10" s="1"/>
  <c r="Z93" i="10" s="1"/>
  <c r="Z21" i="10" s="1"/>
  <c r="V96" i="10"/>
  <c r="AR47" i="11"/>
  <c r="AS50" i="11"/>
  <c r="AS48" i="11"/>
  <c r="AS49" i="11"/>
  <c r="AS47" i="11"/>
  <c r="E32" i="16" l="1"/>
  <c r="G15" i="16"/>
  <c r="AV50" i="11"/>
  <c r="AV49" i="11"/>
  <c r="BF44" i="11"/>
  <c r="AV47" i="11"/>
  <c r="BF47" i="11"/>
  <c r="G23" i="10"/>
  <c r="Z130" i="10"/>
  <c r="Z124" i="10"/>
  <c r="AA11" i="10" s="1"/>
  <c r="Z127" i="10"/>
  <c r="AA14" i="10" s="1"/>
  <c r="Z134" i="10"/>
  <c r="AA20" i="10" s="1"/>
  <c r="Z135" i="10"/>
  <c r="Z131" i="10"/>
  <c r="Z125" i="10"/>
  <c r="AA12" i="10" s="1"/>
  <c r="Z133" i="10"/>
  <c r="AA19" i="10" s="1"/>
  <c r="Z129" i="10"/>
  <c r="AA16" i="10" s="1"/>
  <c r="Z126" i="10"/>
  <c r="AA13" i="10" s="1"/>
  <c r="Z132" i="10"/>
  <c r="AA17" i="10" s="1"/>
  <c r="Z128" i="10"/>
  <c r="AA15" i="10" s="1"/>
  <c r="Z136" i="10"/>
  <c r="F41" i="10"/>
  <c r="F22" i="10"/>
  <c r="F40" i="10" s="1"/>
  <c r="F75" i="10"/>
  <c r="N192" i="10"/>
  <c r="O192" i="10" s="1"/>
  <c r="M190" i="10"/>
  <c r="BF41" i="11"/>
  <c r="AV48" i="11"/>
  <c r="BE49" i="11"/>
  <c r="BE50" i="11"/>
  <c r="BE48" i="11"/>
  <c r="F24" i="10"/>
  <c r="F42" i="10" s="1"/>
  <c r="AZ41" i="11"/>
  <c r="Z83" i="10"/>
  <c r="Z11" i="10" s="1"/>
  <c r="Z86" i="10"/>
  <c r="Z14" i="10" s="1"/>
  <c r="Z90" i="10"/>
  <c r="Z84" i="10"/>
  <c r="Z12" i="10" s="1"/>
  <c r="Z89" i="10"/>
  <c r="Z91" i="10"/>
  <c r="Z17" i="10" s="1"/>
  <c r="Z87" i="10"/>
  <c r="Z15" i="10" s="1"/>
  <c r="Z92" i="10"/>
  <c r="Z19" i="10" s="1"/>
  <c r="Z85" i="10"/>
  <c r="Z13" i="10" s="1"/>
  <c r="Z88" i="10"/>
  <c r="Z16" i="10" s="1"/>
  <c r="AU50" i="11"/>
  <c r="AU49" i="11"/>
  <c r="AU47" i="11"/>
  <c r="AA22" i="10" l="1"/>
  <c r="BG41" i="11"/>
  <c r="AZ44" i="11"/>
  <c r="G41" i="10"/>
  <c r="G22" i="10"/>
  <c r="G40" i="10" s="1"/>
  <c r="H41" i="10"/>
  <c r="G75" i="10"/>
  <c r="Z22" i="10"/>
  <c r="BF49" i="11"/>
  <c r="BF50" i="11"/>
  <c r="BF48" i="11"/>
  <c r="G24" i="10"/>
  <c r="G42" i="10" s="1"/>
  <c r="H24" i="10" l="1"/>
  <c r="AZ49" i="11"/>
  <c r="BG44" i="11"/>
  <c r="AZ47" i="11"/>
  <c r="AZ50" i="11"/>
  <c r="AZ48" i="11"/>
  <c r="BG47" i="11" l="1"/>
  <c r="BG50" i="11"/>
  <c r="BG49" i="11"/>
  <c r="H42" i="10"/>
  <c r="H22" i="10"/>
  <c r="H40" i="10" s="1"/>
  <c r="BG4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Kao, Howard (Research)</author>
  </authors>
  <commentList>
    <comment ref="B3" authorId="0" shapeId="0" xr:uid="{E17E86BC-8472-4F8C-8734-7A6902778762}">
      <text>
        <r>
          <rPr>
            <b/>
            <sz val="9"/>
            <color indexed="81"/>
            <rFont val="Tahoma"/>
            <family val="2"/>
          </rPr>
          <t>Kao, Howard (Research):</t>
        </r>
        <r>
          <rPr>
            <sz val="9"/>
            <color indexed="81"/>
            <rFont val="Tahoma"/>
            <family val="2"/>
          </rPr>
          <t xml:space="preserve">
Based on CoWoS numbers</t>
        </r>
      </text>
    </comment>
    <comment ref="D10" authorId="0" shapeId="0" xr:uid="{08047219-7943-485E-A10F-73146735344A}">
      <text>
        <r>
          <rPr>
            <b/>
            <sz val="9"/>
            <color indexed="81"/>
            <rFont val="Tahoma"/>
            <family val="2"/>
          </rPr>
          <t>Kao, Howard (Research):</t>
        </r>
        <r>
          <rPr>
            <sz val="9"/>
            <color indexed="81"/>
            <rFont val="Tahoma"/>
            <family val="2"/>
          </rPr>
          <t xml:space="preserve">
we assume 90k units of B200 HGX servers
</t>
        </r>
      </text>
    </comment>
    <comment ref="D18" authorId="0" shapeId="0" xr:uid="{35D17161-E7CC-4AE4-BA3E-FCB6EC72DA3E}">
      <text>
        <r>
          <rPr>
            <b/>
            <sz val="9"/>
            <color indexed="81"/>
            <rFont val="Tahoma"/>
            <family val="2"/>
          </rPr>
          <t>Kao, Howard (Research):</t>
        </r>
        <r>
          <rPr>
            <sz val="9"/>
            <color indexed="81"/>
            <rFont val="Tahoma"/>
            <family val="2"/>
          </rPr>
          <t xml:space="preserve">
we assume 30k units of B300 HGX servers in CY25
</t>
        </r>
      </text>
    </comment>
    <comment ref="E18" authorId="0" shapeId="0" xr:uid="{4F86180E-716D-4D94-B5E7-4AF749F540C2}">
      <text>
        <r>
          <rPr>
            <b/>
            <sz val="9"/>
            <color indexed="81"/>
            <rFont val="Tahoma"/>
            <family val="2"/>
          </rPr>
          <t>Kao, Howard (Research):</t>
        </r>
        <r>
          <rPr>
            <sz val="9"/>
            <color indexed="81"/>
            <rFont val="Tahoma"/>
            <family val="2"/>
          </rPr>
          <t xml:space="preserve">
we assume 120k units of B300 HGX servers in CY26
</t>
        </r>
      </text>
    </comment>
    <comment ref="E29" authorId="0" shapeId="0" xr:uid="{B4C21CA7-B1CA-4591-A18F-B4CD8152EF29}">
      <text>
        <r>
          <rPr>
            <b/>
            <sz val="9"/>
            <color indexed="81"/>
            <rFont val="Tahoma"/>
            <family val="2"/>
          </rPr>
          <t>Kao, Howard (Research):</t>
        </r>
        <r>
          <rPr>
            <sz val="9"/>
            <color indexed="81"/>
            <rFont val="Tahoma"/>
            <family val="2"/>
          </rPr>
          <t xml:space="preserve">
we assume 20k units of R200 HGX servers in CY26
</t>
        </r>
      </text>
    </comment>
    <comment ref="F29" authorId="0" shapeId="0" xr:uid="{AF681CF3-B48A-42F4-B66A-FD51D09BCBD9}">
      <text>
        <r>
          <rPr>
            <b/>
            <sz val="9"/>
            <color indexed="81"/>
            <rFont val="Tahoma"/>
            <family val="2"/>
          </rPr>
          <t>Kao, Howard (Research):</t>
        </r>
        <r>
          <rPr>
            <sz val="9"/>
            <color indexed="81"/>
            <rFont val="Tahoma"/>
            <family val="2"/>
          </rPr>
          <t xml:space="preserve">
we assume 50k units of R200 HGX servers in CY27
</t>
        </r>
      </text>
    </comment>
  </commentList>
</comments>
</file>

<file path=xl/sharedStrings.xml><?xml version="1.0" encoding="utf-8"?>
<sst xmlns="http://schemas.openxmlformats.org/spreadsheetml/2006/main" count="1731" uniqueCount="590">
  <si>
    <t xml:space="preserve">Greater China Technology Hardware </t>
  </si>
  <si>
    <t>Contacts</t>
  </si>
  <si>
    <t>Phone</t>
  </si>
  <si>
    <t>Email</t>
  </si>
  <si>
    <t>Greater China Technology Hardware</t>
  </si>
  <si>
    <t>Howard Kao</t>
  </si>
  <si>
    <t>+886-2730-2989</t>
  </si>
  <si>
    <t>howard.kao@morganstanley.com</t>
  </si>
  <si>
    <t>Sharon Shih</t>
  </si>
  <si>
    <t>+886-2730-2865</t>
  </si>
  <si>
    <t>sharon.shih@morganstanley.com</t>
  </si>
  <si>
    <r>
      <rPr>
        <b/>
        <sz val="8"/>
        <rFont val="Tahoma"/>
        <family val="2"/>
      </rPr>
      <t>Disclaimer</t>
    </r>
    <r>
      <rPr>
        <sz val="8"/>
        <rFont val="Tahoma"/>
        <family val="2"/>
      </rPr>
      <t/>
    </r>
  </si>
  <si>
    <t>The information and opinions in Morgan Stanley Research were prepared or are disseminated by Morgan Stanley Asia Limited (which accepts the responsibility for its contents) and/or Morgan Stanley Asia (Singapore) Pte. (Registration number 199206298Z) and/or Morgan Stanley Asia (Singapore) Securities Pte Ltd (Registration number 200008434H), regulated by the Monetary Authority of Singapore (which accepts legal responsibility for its contents and should be contacted with respect to any matters arising from, or in connection with, Morgan Stanley Research), and/or Morgan Stanley Taiwan Limited and/or Morgan Stanley &amp; Co International plc, Seoul Branch, and/or Morgan Stanley Australia Limited (A.B.N. 67 003 734 576, holder of Australian financial services license No. 233742, which accepts responsibility for its contents), and/or Morgan Stanley Wealth Management Australia Pty Ltd (A.B.N. 19 009 145 555, holder of Australian financial services license No. 240813, which accepts responsibility for its contents), and/or Morgan Stanley India Company Private Limited, regulated by the Securities and Exchange Board of India (“SEBI”) and holder of licenses as a Research Analyst  (SEBI Registration No. INH000001105); Stock Broker (BSE Registration No. INB011054237 and NSE Registration No. INB/INF231054231), Merchant Banker (SEBI Registration No. INM000011203), and depository participant with National Securities Depository Limited (SEBI Registration No. IN-DP-NSDL-372-2014) which accepts the responsibility for its contents and should be contacted with respect to any matters arising from, or in connection with, Morgan Stanley Research, and/or PT Morgan Stanley Asia Indonesia and their affiliates (collectively, "Morgan Stanley").
For important disclosures, stock price charts and equity rating histories regarding companies that are the subject of this report, please see the Morgan Stanley Research Disclosure Website at www.morganstanley.com/researchdisclosures, or contact your investment representative or Morgan Stanley Research at 1585 Broadway, (Attention: Research Management), New York, NY, 10036 USA.
For valuation methodology and risks associated with any recommendation, rating or price target referenced in this research report, please contact the Client Support Team as follows: US/Canada +1 800 303-2495; Hong Kong +852 2848-5999; Latin America +1 718 754-5444 (U.S.); London +44 (0)20-7425-8169; Singapore +65 6834-6860; Sydney +61 (0)2-9770-1505; Tokyo +81 (0)3-6836-9000.  Alternatively you may contact your investment representative or Morgan Stanley Research at 1585 Broadway, (Attention: Research Management), New York, NY 10036 USA.</t>
  </si>
  <si>
    <t>Check</t>
  </si>
  <si>
    <t>+'ODM share analysis'!R[164]C[-3]*1000-'GB200-300 Tracker (2025)'!R[3]C</t>
  </si>
  <si>
    <t>Analyst Certification</t>
  </si>
  <si>
    <t>The following analysts hereby certify that their views about the companies and their securities discussed in this report are accurately expressed and that they have not received and will not receive direct or indirect compensation in exchange for expressing specific recommendations or views in this report: Howard Kao.
Unless otherwise stated, the individuals listed on the cover page of this report are research analysts.
Important US Regulatory Disclosures on Subject Companies
The equity research analysts or strategists principally responsible for the preparation of Morgan Stanley Research have received compensation based upon various factors, including quality of research, investor client feedback, stock picking, competitive factors, firm revenues and overall investment banking revenues. Equity Research analysts' or strategists' compensation is not linked to investment banking or capital markets transactions performed by Morgan Stanley or the profitability or revenues of particular trading desks.
Morgan Stanley and its affiliates do business that relates to companies/instruments covered in Morgan Stanley Research, including market making, providing liquidity, fund management, commercial banking, extension of credit, investment services and investment banking. Morgan Stanley sells to and buys from customers the securities/instruments of companies covered in Morgan Stanley Research on a principal basis. Morgan Stanley may have a position in the debt of the Company or instruments discussed in this report. Morgan Stanley trades or may trade as principal in the debt securities (or in related derivatives) that are the subject of the debt research report.
Certain disclosures listed above are also for compliance with applicable regulations in non-US jurisdictions.</t>
  </si>
  <si>
    <t>NVIDIA</t>
  </si>
  <si>
    <t>A100</t>
  </si>
  <si>
    <t>H100</t>
  </si>
  <si>
    <t>H200</t>
  </si>
  <si>
    <t>B200</t>
  </si>
  <si>
    <t>GB200 NVL72</t>
  </si>
  <si>
    <t>GB300 NVL72</t>
  </si>
  <si>
    <t>VR200 NVL144</t>
  </si>
  <si>
    <t>VR200 NVL144 CPX</t>
  </si>
  <si>
    <t>VR300</t>
  </si>
  <si>
    <t>GPU Cooling</t>
  </si>
  <si>
    <t xml:space="preserve">Air </t>
  </si>
  <si>
    <t>Air &amp; Liquid</t>
  </si>
  <si>
    <t>Liquid</t>
  </si>
  <si>
    <t>Air</t>
  </si>
  <si>
    <t>CPU</t>
  </si>
  <si>
    <t>x86</t>
  </si>
  <si>
    <t>Grace</t>
  </si>
  <si>
    <t>Vera</t>
  </si>
  <si>
    <t>Product Form Factor</t>
  </si>
  <si>
    <t>DGX/HGX 8x GPU
PCIe</t>
  </si>
  <si>
    <t>HGX 8x GPU</t>
  </si>
  <si>
    <t>GB 1:4 board (9x MGX)
NVSwitch tray
NVL backplane</t>
  </si>
  <si>
    <t>Oberon
VR 2:4 board 
NVSwitch tray
 NVL backplane</t>
  </si>
  <si>
    <t xml:space="preserve">Kyber
</t>
  </si>
  <si>
    <t>GPU Memory</t>
  </si>
  <si>
    <t>80GB | HBM2e | 4/8H</t>
  </si>
  <si>
    <t>80/96GB | HBM2e/3 | 8H</t>
  </si>
  <si>
    <t>141GB | HBM3e | 8H</t>
  </si>
  <si>
    <t>192GB | HBM3e | 8H</t>
  </si>
  <si>
    <t>144GB | HBM3e | 12H</t>
  </si>
  <si>
    <t>288GB | HBM4 | 8H</t>
  </si>
  <si>
    <t>128GB GDDR7</t>
  </si>
  <si>
    <t>1TB | HBM4e | 16H</t>
  </si>
  <si>
    <t>GPU Max TDP</t>
  </si>
  <si>
    <t>400W</t>
  </si>
  <si>
    <t>700W</t>
  </si>
  <si>
    <t>1,000W</t>
  </si>
  <si>
    <t>1,200W</t>
  </si>
  <si>
    <t>700W | 1,000W</t>
  </si>
  <si>
    <t>1,400W</t>
  </si>
  <si>
    <t>2,300W</t>
  </si>
  <si>
    <t>800W</t>
  </si>
  <si>
    <t>3,600W</t>
  </si>
  <si>
    <t>NVLink B/W per GPU</t>
  </si>
  <si>
    <t>600GB/s</t>
  </si>
  <si>
    <t>900GB/s</t>
  </si>
  <si>
    <t>1,800 GB/s</t>
  </si>
  <si>
    <t>3,600 GB/s</t>
  </si>
  <si>
    <t>CPU-GPU Interface</t>
  </si>
  <si>
    <t>64 GB/s PCIe4</t>
  </si>
  <si>
    <t>128 GB/s PCIe5</t>
  </si>
  <si>
    <t>450 GB/s C2C</t>
  </si>
  <si>
    <t>64 GB/s PCIe5</t>
  </si>
  <si>
    <t>1.8TB/s C2C</t>
  </si>
  <si>
    <t>Network Adapter</t>
  </si>
  <si>
    <t>200G CX6 | BF2</t>
  </si>
  <si>
    <t>400G CX7 | BF3</t>
  </si>
  <si>
    <t>800G CX8</t>
  </si>
  <si>
    <t>1,600G CX9</t>
  </si>
  <si>
    <t>Launch timing</t>
  </si>
  <si>
    <t>2Q20</t>
  </si>
  <si>
    <t>4Q22</t>
  </si>
  <si>
    <t>2Q24</t>
  </si>
  <si>
    <t>1Q25</t>
  </si>
  <si>
    <t>4Q24</t>
  </si>
  <si>
    <t>3Q25</t>
  </si>
  <si>
    <t>2H26</t>
  </si>
  <si>
    <t>End of 2026</t>
  </si>
  <si>
    <t>2H27</t>
  </si>
  <si>
    <t>Back-end</t>
  </si>
  <si>
    <t>CoWoS-S</t>
  </si>
  <si>
    <t>CoWoS-L</t>
  </si>
  <si>
    <t>HBM4</t>
  </si>
  <si>
    <t>HBM Vendor</t>
  </si>
  <si>
    <t>Hynix</t>
  </si>
  <si>
    <t>Hynix/Micron</t>
  </si>
  <si>
    <t>Hynix/Micron/Samsung</t>
  </si>
  <si>
    <t>Substrate size</t>
  </si>
  <si>
    <t>55mm x 55mm</t>
  </si>
  <si>
    <t>55mm x 58mm</t>
  </si>
  <si>
    <t>73mm x 81mm</t>
  </si>
  <si>
    <t>NA</t>
  </si>
  <si>
    <t>83mm x 97mm</t>
  </si>
  <si>
    <t>Layer count</t>
  </si>
  <si>
    <t>12L</t>
  </si>
  <si>
    <t>14L</t>
  </si>
  <si>
    <t>18L</t>
  </si>
  <si>
    <t>Ibiden</t>
  </si>
  <si>
    <t>Ibiden/Unimicron</t>
  </si>
  <si>
    <t>Kinsus</t>
  </si>
  <si>
    <t>Very low-loss (M6),
Ultra low-loss (M7)</t>
  </si>
  <si>
    <t>M9 (?)</t>
  </si>
  <si>
    <t>EMC</t>
  </si>
  <si>
    <t>Doosan</t>
  </si>
  <si>
    <t>?</t>
  </si>
  <si>
    <t>18L HDI</t>
  </si>
  <si>
    <t>22L HDI</t>
  </si>
  <si>
    <t>UMTC, ISU, TTM, WUS</t>
  </si>
  <si>
    <t>VGT, UMTC</t>
  </si>
  <si>
    <t>UMTC, ISU, TTM, 
WUS, VGT</t>
  </si>
  <si>
    <t>Ultra low-loss (M7)</t>
  </si>
  <si>
    <t>EMC, TUC</t>
  </si>
  <si>
    <t>WUS, TTM, ISU</t>
  </si>
  <si>
    <t>WUS, TTM, ISU, UMTC</t>
  </si>
  <si>
    <t>Ultra low-loss (M7), 
Extreme low-loss (M8)</t>
  </si>
  <si>
    <t>Extreme low-loss (M8)</t>
  </si>
  <si>
    <t>M8.5 or beyond (M9)</t>
  </si>
  <si>
    <t>EMC, TUC, Doosan</t>
  </si>
  <si>
    <t>EMC, Doosan</t>
  </si>
  <si>
    <t>26-28L</t>
  </si>
  <si>
    <t>28-30L</t>
  </si>
  <si>
    <t>26L HDI or PTH ?</t>
  </si>
  <si>
    <t>WUS, TTM, GCE, ISU</t>
  </si>
  <si>
    <t>Very low-loss (M6)</t>
  </si>
  <si>
    <t>EMC, TUC, ITEQ, Panasonic</t>
  </si>
  <si>
    <t>EMC, TUC,
ITEQ, Panasonic</t>
  </si>
  <si>
    <t>16-18L</t>
  </si>
  <si>
    <t>16-20L</t>
  </si>
  <si>
    <t>GCE, WUS, TTM, ISU, Tripod</t>
  </si>
  <si>
    <t>GCE, WUS, TTM, 
ISU, Tripod</t>
  </si>
  <si>
    <r>
      <t xml:space="preserve">HGX B200A
B200A Ultra
</t>
    </r>
    <r>
      <rPr>
        <b/>
        <sz val="8"/>
        <color theme="8" tint="0.39997558519241921"/>
        <rFont val="Arial"/>
        <family val="2"/>
      </rPr>
      <t>(PHASED OUT)</t>
    </r>
  </si>
  <si>
    <r>
      <t xml:space="preserve">MGX GB300A
NVL36
</t>
    </r>
    <r>
      <rPr>
        <b/>
        <sz val="8"/>
        <color theme="8" tint="0.39997558519241921"/>
        <rFont val="Arial"/>
        <family val="2"/>
      </rPr>
      <t>(RENAMED FROM GB200A Ultra)</t>
    </r>
  </si>
  <si>
    <r>
      <t xml:space="preserve">GB300 NVL72
</t>
    </r>
    <r>
      <rPr>
        <b/>
        <sz val="8"/>
        <color theme="8" tint="0.39997558519241921"/>
        <rFont val="Arial"/>
        <family val="2"/>
      </rPr>
      <t>(RENAMED FROM GB200 Ultra)</t>
    </r>
  </si>
  <si>
    <t>ABF/CCL/PCB (client version)</t>
  </si>
  <si>
    <t>ABF Substrate</t>
  </si>
  <si>
    <t>Supplier</t>
  </si>
  <si>
    <t>OCP Accelerator Module (OAM)</t>
  </si>
  <si>
    <t>CCL Spec.</t>
  </si>
  <si>
    <t>CCL supplier</t>
  </si>
  <si>
    <t>PCB Spec.</t>
  </si>
  <si>
    <t>PCB Supplier</t>
  </si>
  <si>
    <t>Universal Baseboard (UBB)</t>
  </si>
  <si>
    <t>Switch board</t>
  </si>
  <si>
    <t>Motherboard</t>
  </si>
  <si>
    <t>AMD</t>
  </si>
  <si>
    <t>MI250X</t>
  </si>
  <si>
    <t>MI300A</t>
  </si>
  <si>
    <t>MI300X</t>
  </si>
  <si>
    <t>MI325X</t>
  </si>
  <si>
    <t>MI350X</t>
  </si>
  <si>
    <t>MI355X</t>
  </si>
  <si>
    <t>MI375X</t>
  </si>
  <si>
    <t>4x GPU</t>
  </si>
  <si>
    <t>4x APU</t>
  </si>
  <si>
    <t>8x GPU</t>
  </si>
  <si>
    <t>N/A</t>
  </si>
  <si>
    <t>128GB | HBM2e</t>
  </si>
  <si>
    <t>128GB | HBM3</t>
  </si>
  <si>
    <t>192GB | HBM3</t>
  </si>
  <si>
    <t>288GB | HBM3e</t>
  </si>
  <si>
    <t>288GB</t>
  </si>
  <si>
    <t>560W</t>
  </si>
  <si>
    <t>760W</t>
  </si>
  <si>
    <t>750W</t>
  </si>
  <si>
    <t xml:space="preserve">750W </t>
  </si>
  <si>
    <t>B/W per GPU</t>
  </si>
  <si>
    <t>200GB/s</t>
  </si>
  <si>
    <t>384GB/s</t>
  </si>
  <si>
    <t>896GB/s</t>
  </si>
  <si>
    <t>4Q21</t>
  </si>
  <si>
    <t>4Q23</t>
  </si>
  <si>
    <t>4Q25</t>
  </si>
  <si>
    <t>3Q26</t>
  </si>
  <si>
    <t>SoIC + CoWoS-S</t>
  </si>
  <si>
    <t>Samsung</t>
  </si>
  <si>
    <t>MI405X</t>
  </si>
  <si>
    <t>Joe's numbers (k units)</t>
  </si>
  <si>
    <t>H100/200</t>
  </si>
  <si>
    <t>B200/300</t>
  </si>
  <si>
    <t>R100/200</t>
  </si>
  <si>
    <t>X100</t>
  </si>
  <si>
    <t>Others</t>
  </si>
  <si>
    <t>Nvidia AI server unit assumption</t>
  </si>
  <si>
    <t>ODM share</t>
  </si>
  <si>
    <t>k units</t>
  </si>
  <si>
    <t>2023-26 CAR</t>
  </si>
  <si>
    <t>Mix</t>
  </si>
  <si>
    <t>HGX+DGX (8x GPU)</t>
  </si>
  <si>
    <t>HGX</t>
  </si>
  <si>
    <t>H100/H200/H20</t>
  </si>
  <si>
    <t>B200/B300</t>
  </si>
  <si>
    <t>R200</t>
  </si>
  <si>
    <t>R300</t>
  </si>
  <si>
    <t>DGX</t>
  </si>
  <si>
    <t>Asustek</t>
  </si>
  <si>
    <t>Rack-scale</t>
  </si>
  <si>
    <t>Total</t>
  </si>
  <si>
    <t>VR300 NVL576</t>
  </si>
  <si>
    <t>Others (L40S, etc)</t>
  </si>
  <si>
    <t>Nvidia HGX/DGX demand</t>
  </si>
  <si>
    <t>y/y</t>
  </si>
  <si>
    <t>Microsoft</t>
  </si>
  <si>
    <t>Google</t>
  </si>
  <si>
    <t>Amazon</t>
  </si>
  <si>
    <t>NM</t>
  </si>
  <si>
    <t>Meta Platforms</t>
  </si>
  <si>
    <t>Dell</t>
  </si>
  <si>
    <t>Coreweave</t>
  </si>
  <si>
    <t>Oracle</t>
  </si>
  <si>
    <t>BBAT</t>
  </si>
  <si>
    <t>GPU # (exclude PCIe)</t>
  </si>
  <si>
    <t>DC GPU ($bn)</t>
  </si>
  <si>
    <t>Quanta</t>
  </si>
  <si>
    <t>Inventec</t>
  </si>
  <si>
    <t>Wiwynn</t>
  </si>
  <si>
    <t>FII/HH</t>
  </si>
  <si>
    <t>Total server</t>
  </si>
  <si>
    <t>Nvidia AI server mix</t>
  </si>
  <si>
    <t>Demand</t>
  </si>
  <si>
    <t>TSMC</t>
  </si>
  <si>
    <t>Blackwell units</t>
  </si>
  <si>
    <t>GB200/GB300</t>
  </si>
  <si>
    <t>B200/B300 HGX</t>
  </si>
  <si>
    <t>Blackwell mix</t>
  </si>
  <si>
    <t>Last update: February 4, 2025</t>
  </si>
  <si>
    <t>Implied Capex (US$ bn)</t>
  </si>
  <si>
    <t>ASP (US$ k)</t>
  </si>
  <si>
    <t>B100</t>
  </si>
  <si>
    <t>R100</t>
  </si>
  <si>
    <t>GB200 (NVL36)</t>
  </si>
  <si>
    <t>GB200 (NVL72)</t>
  </si>
  <si>
    <t>L40S/H20, etc</t>
  </si>
  <si>
    <t>ODM/OEM share</t>
  </si>
  <si>
    <t>MSFT</t>
  </si>
  <si>
    <t>GOOG</t>
  </si>
  <si>
    <t>AWS</t>
  </si>
  <si>
    <t>Meta</t>
  </si>
  <si>
    <t>CW</t>
  </si>
  <si>
    <t>Tesla/X</t>
  </si>
  <si>
    <t>Apple</t>
  </si>
  <si>
    <t>AD</t>
  </si>
  <si>
    <t>Taiga</t>
  </si>
  <si>
    <t>2023 ODM share analysis (8x GPU HGX+DGX)</t>
  </si>
  <si>
    <t>Inventec/ZT Systems</t>
  </si>
  <si>
    <t>2023 AI server volume</t>
  </si>
  <si>
    <t>Wistron</t>
  </si>
  <si>
    <t>Super Micro</t>
  </si>
  <si>
    <t>Other non-hyperscalers</t>
  </si>
  <si>
    <t>HPE</t>
  </si>
  <si>
    <t>Giga-Byte</t>
  </si>
  <si>
    <t>Baidu</t>
  </si>
  <si>
    <t>Inspur</t>
  </si>
  <si>
    <t>Alibaba</t>
  </si>
  <si>
    <t>Tencent</t>
  </si>
  <si>
    <t>ByteDance</t>
  </si>
  <si>
    <t>X</t>
  </si>
  <si>
    <t>Tesla</t>
  </si>
  <si>
    <t>Lambda</t>
  </si>
  <si>
    <t>Applied Digital</t>
  </si>
  <si>
    <t>Taiga Cloud</t>
  </si>
  <si>
    <t>2024 ODM share analysis (8x GPU HGX+DGX)</t>
  </si>
  <si>
    <t>2024 AI server volume</t>
  </si>
  <si>
    <t>Lenovo</t>
  </si>
  <si>
    <t>NationGate</t>
  </si>
  <si>
    <t>2025 ODM share analysis (GB200/GB300)</t>
  </si>
  <si>
    <t>2025 GB200/GB300 volume (NVL72 equivalent)</t>
  </si>
  <si>
    <t>SMCI</t>
  </si>
  <si>
    <t>GB200</t>
  </si>
  <si>
    <t>ODM Partner(s)</t>
  </si>
  <si>
    <t>Foxconn</t>
  </si>
  <si>
    <t>SMCI / DELL / etc</t>
  </si>
  <si>
    <t>Racks</t>
  </si>
  <si>
    <t>2Q25</t>
  </si>
  <si>
    <t>GB racks (NVL72)</t>
  </si>
  <si>
    <t xml:space="preserve">GB200 </t>
  </si>
  <si>
    <t>GB300</t>
  </si>
  <si>
    <t>2026 ODM share analysis (GB200/GB300)</t>
  </si>
  <si>
    <t>2026 GB200/GB300 volume (NVL72 equivalent)</t>
  </si>
  <si>
    <t>%</t>
  </si>
  <si>
    <t>ASIC (k units)</t>
  </si>
  <si>
    <t>chips/rack</t>
  </si>
  <si>
    <t>Rack ASP (US$k)</t>
  </si>
  <si>
    <t>Capex (US$B)</t>
  </si>
  <si>
    <t>US$M/Rack</t>
  </si>
  <si>
    <t>Total capex spent (US$B)</t>
  </si>
  <si>
    <t>GB</t>
  </si>
  <si>
    <t>ASIC</t>
  </si>
  <si>
    <t>2025 capex</t>
  </si>
  <si>
    <t>GPU shipment</t>
  </si>
  <si>
    <t>2Q</t>
  </si>
  <si>
    <t>GB200 NVL72 k racks</t>
  </si>
  <si>
    <t>B300</t>
  </si>
  <si>
    <t>GB300 NVL72 k racks</t>
  </si>
  <si>
    <t>B200 chips</t>
  </si>
  <si>
    <t>B300 chips</t>
  </si>
  <si>
    <t>R200 chips</t>
  </si>
  <si>
    <t>R300 chips</t>
  </si>
  <si>
    <t>B200 Analysis</t>
  </si>
  <si>
    <t>Total B200 chips</t>
  </si>
  <si>
    <t>B200 HGX assumptions</t>
  </si>
  <si>
    <t>B200 chips left for GB200</t>
  </si>
  <si>
    <t>Maximum GB200 NVL72 rack output</t>
  </si>
  <si>
    <t>GB200 NVL72 rack yield</t>
  </si>
  <si>
    <t>GB200 NVL72 racks (accounting for yield)</t>
  </si>
  <si>
    <t>B300 Analysis</t>
  </si>
  <si>
    <t>Total B300 chips</t>
  </si>
  <si>
    <t>B300 HGX assumptions</t>
  </si>
  <si>
    <t>B300 chips left for GB300</t>
  </si>
  <si>
    <t>Maximum GB300 NVL72 rack output</t>
  </si>
  <si>
    <t>GB300 NVL72 rack yield</t>
  </si>
  <si>
    <t>GB300 NVL72 racks (accounting for yield)</t>
  </si>
  <si>
    <t>GB300 NVL72 racks shipped in CY25</t>
  </si>
  <si>
    <t>GB300 NVL72 racks rolled into CY26</t>
  </si>
  <si>
    <t>Total GB300 NVL72 racks in CY26</t>
  </si>
  <si>
    <t>R200 Analysis</t>
  </si>
  <si>
    <t>Total R200 chips</t>
  </si>
  <si>
    <t>R200 HGX assumptions</t>
  </si>
  <si>
    <t>R200 chips left for VR200</t>
  </si>
  <si>
    <t>Maximum VR200 NVL72 rack output</t>
  </si>
  <si>
    <t>VR200 NVL72 rack yield</t>
  </si>
  <si>
    <t>VR200 NVL72 racks (accounting for yield)</t>
  </si>
  <si>
    <t>VR200 NVL72 racks shipped in CY26</t>
  </si>
  <si>
    <t>VR200 NVL72 racks rolled into CY27</t>
  </si>
  <si>
    <t>Total VR200 NVL72 racks in CY27</t>
  </si>
  <si>
    <t>Jan</t>
  </si>
  <si>
    <t>Feb</t>
  </si>
  <si>
    <t>Mar</t>
  </si>
  <si>
    <t>Apr</t>
  </si>
  <si>
    <t>May</t>
  </si>
  <si>
    <t>Jun</t>
  </si>
  <si>
    <t>Jul</t>
  </si>
  <si>
    <t>Aug</t>
  </si>
  <si>
    <t>Sep</t>
  </si>
  <si>
    <t>Oct</t>
  </si>
  <si>
    <t>Nov</t>
  </si>
  <si>
    <t>Dec</t>
  </si>
  <si>
    <t>May-E</t>
  </si>
  <si>
    <t>Jun-E</t>
  </si>
  <si>
    <t>Jul-E</t>
  </si>
  <si>
    <t>Aug-E</t>
  </si>
  <si>
    <t>Sep-E</t>
  </si>
  <si>
    <t>Oct-E</t>
  </si>
  <si>
    <t>Nov-E</t>
  </si>
  <si>
    <t>Dec-E</t>
  </si>
  <si>
    <t>1Q</t>
  </si>
  <si>
    <t>3Q</t>
  </si>
  <si>
    <t>4Q</t>
  </si>
  <si>
    <t>1Q26</t>
  </si>
  <si>
    <t>2Q26</t>
  </si>
  <si>
    <t>4Q26</t>
  </si>
  <si>
    <t>1Q27</t>
  </si>
  <si>
    <t>2Q27</t>
  </si>
  <si>
    <t>3Q27</t>
  </si>
  <si>
    <t>4Q27</t>
  </si>
  <si>
    <t>Hon Hai</t>
  </si>
  <si>
    <t>VR200</t>
  </si>
  <si>
    <t>Chart label</t>
  </si>
  <si>
    <t>m/m</t>
  </si>
  <si>
    <t>Customer Mix Breakdown by Quarter</t>
  </si>
  <si>
    <t>xAI</t>
  </si>
  <si>
    <t>ASP (US$)</t>
  </si>
  <si>
    <t>Grace CPU</t>
  </si>
  <si>
    <t>Manifold (CDM)</t>
  </si>
  <si>
    <t>Rack assembly value add</t>
  </si>
  <si>
    <t>Nvidia Client version</t>
  </si>
  <si>
    <t>GB 2:4 board 
NVSwitch tray
 NVL backplane</t>
  </si>
  <si>
    <t>288GB | HBM3e | 8/12H</t>
  </si>
  <si>
    <t>16L</t>
  </si>
  <si>
    <t xml:space="preserve">Extreme low-loss (M8) + 
Low-loss (M4) </t>
  </si>
  <si>
    <t>Doosan, EMC</t>
  </si>
  <si>
    <t xml:space="preserve">26L HDI </t>
  </si>
  <si>
    <t>UMTC, ISU, TTM, 
VGT</t>
  </si>
  <si>
    <t>VGT, UMTC, 
ZDT, Dynamic</t>
  </si>
  <si>
    <t>Doosan, EMC, TUC</t>
  </si>
  <si>
    <t>26-30L</t>
  </si>
  <si>
    <t xml:space="preserve">EMC, Doosan, Shengyi </t>
  </si>
  <si>
    <t>UMTC, WUS, TTM, GCE, ISU</t>
  </si>
  <si>
    <t xml:space="preserve">WUS, VGT, UMTC, TTM </t>
  </si>
  <si>
    <t>AMD Client version</t>
  </si>
  <si>
    <t>VR200 NVL72</t>
  </si>
  <si>
    <t>Nebius</t>
  </si>
  <si>
    <t>MegaSpeed</t>
  </si>
  <si>
    <t>TogetherAI</t>
  </si>
  <si>
    <t>Pegatron</t>
  </si>
  <si>
    <t>24L PTH</t>
  </si>
  <si>
    <t>32L PTH</t>
  </si>
  <si>
    <t>EMC, Shengyi</t>
  </si>
  <si>
    <t>WUS, TTM, VGT</t>
  </si>
  <si>
    <t>VGT, TTM, Kinwon</t>
  </si>
  <si>
    <t>VGT, WUS, TTM</t>
  </si>
  <si>
    <t>Midplane PCB</t>
  </si>
  <si>
    <t>Orchid Module / BlueField Module</t>
  </si>
  <si>
    <t>Beyond extreme low-loss (M9)</t>
  </si>
  <si>
    <t>44L PTH</t>
  </si>
  <si>
    <t>VGT, WUS</t>
  </si>
  <si>
    <t>20L PTH</t>
  </si>
  <si>
    <t>WUS, VGT, TTM, UMTC</t>
  </si>
  <si>
    <t>Total Power Usage (kW)</t>
  </si>
  <si>
    <t>Total Power Capacity (kW)</t>
  </si>
  <si>
    <t>1U Power Shelf - 90kW</t>
  </si>
  <si>
    <t>3U Power Shelf - 110kW</t>
  </si>
  <si>
    <t>1U Power Shelf - 33kW</t>
  </si>
  <si>
    <t>Filler panel</t>
  </si>
  <si>
    <t>Compute Tray - 16x Groq 3 LPU, 
2x GPFA, 1x CPU</t>
  </si>
  <si>
    <t>Drip Tray</t>
  </si>
  <si>
    <t>Compute Tray - CX9 - w/BF4</t>
  </si>
  <si>
    <t>Compute Tray - CX8 - w/ BF3</t>
  </si>
  <si>
    <t>Compute Tray - CX7 - w/BF3</t>
  </si>
  <si>
    <t>NV Switch Tray</t>
    <phoneticPr fontId="5" type="noConversion"/>
  </si>
  <si>
    <t>Compute Tray - 2x Vera, 8x CPX</t>
  </si>
  <si>
    <t>MGMT SW</t>
  </si>
  <si>
    <t>Groq LPX</t>
  </si>
  <si>
    <t>VR200 CPX</t>
  </si>
  <si>
    <t>VR200 NVL72 w/ CPX</t>
  </si>
  <si>
    <t>RU</t>
    <phoneticPr fontId="38" type="noConversion"/>
  </si>
  <si>
    <t>4x Cartridge</t>
  </si>
  <si>
    <t>9x Switch tray</t>
  </si>
  <si>
    <t>18x Compute tray</t>
  </si>
  <si>
    <t>36x NVLink Male</t>
  </si>
  <si>
    <t>Cartridge</t>
  </si>
  <si>
    <t xml:space="preserve">8x NVLink Female </t>
  </si>
  <si>
    <t>Switch tray</t>
  </si>
  <si>
    <t>Chassis/Rail kits</t>
  </si>
  <si>
    <t>12x Board2Board Male  (Midplane)</t>
  </si>
  <si>
    <t>Power supply</t>
  </si>
  <si>
    <t xml:space="preserve">1x Board2Board Female  </t>
  </si>
  <si>
    <t>Cooling</t>
  </si>
  <si>
    <t>4x Board2Board Female  (CX9)</t>
  </si>
  <si>
    <t>MLCC</t>
  </si>
  <si>
    <t>1x Board2Board Female  (BF4)</t>
  </si>
  <si>
    <t>6x Board2Board Female  (Compute board)</t>
  </si>
  <si>
    <t>PCB</t>
  </si>
  <si>
    <t xml:space="preserve">4x NVLink Female </t>
  </si>
  <si>
    <t>Memory</t>
  </si>
  <si>
    <t>Compute tray</t>
  </si>
  <si>
    <t>Networking chips</t>
  </si>
  <si>
    <t>Total (US$)</t>
  </si>
  <si>
    <t>Quantity</t>
  </si>
  <si>
    <t>Paladin connectors</t>
  </si>
  <si>
    <t>Peripheral boards ($5 per board, 45x boards)</t>
  </si>
  <si>
    <t>CX ($30 each, 72x per rack)</t>
  </si>
  <si>
    <t>Vera CPU</t>
  </si>
  <si>
    <t>CX9 Orchid Module ($5 per board, 72x boards)</t>
  </si>
  <si>
    <t>BlueField ($30 each, 18x per rack)</t>
  </si>
  <si>
    <t>Rubin GPU</t>
  </si>
  <si>
    <t>BlueField Module ($5 per board, 18x boards)</t>
  </si>
  <si>
    <t>NVLink ($30 each, 36x per rack)</t>
  </si>
  <si>
    <t>Other peripheral boards (45x)</t>
  </si>
  <si>
    <t>Simplied VR200 NVL72 BOM</t>
  </si>
  <si>
    <t>Switch board ($45 per board, 9x boards)</t>
  </si>
  <si>
    <t>Vera ($60 each, 36x per rack)</t>
  </si>
  <si>
    <t>CX9-Orchid Module (72x, 4x per compute tray)</t>
  </si>
  <si>
    <t>Strata ($90 per board, 36x boards)</t>
  </si>
  <si>
    <t>R200 ($200 each, 72x per rack)</t>
  </si>
  <si>
    <t>BF4-Module (18x, 1x per compute tray)</t>
  </si>
  <si>
    <t>M.2 SSD (1.92TB)</t>
  </si>
  <si>
    <t>MLCC Content per Rack</t>
  </si>
  <si>
    <t>ABF Substrate Content per Rack</t>
  </si>
  <si>
    <t>Peripheral PCB boards</t>
  </si>
  <si>
    <t>E1.S NVMe SSD (16TB)</t>
  </si>
  <si>
    <t>LPDDR5X 128GB (BF4)</t>
  </si>
  <si>
    <t>288x 192GB SOCAMM</t>
  </si>
  <si>
    <t>Assembly/Test</t>
  </si>
  <si>
    <t>Memory (ex-HBM)</t>
  </si>
  <si>
    <t>Railkit</t>
  </si>
  <si>
    <t>Cold Plate (2x)</t>
  </si>
  <si>
    <t>NVQD (18x)</t>
  </si>
  <si>
    <t>NVLink switch chip ASP</t>
  </si>
  <si>
    <t>PCB (MLB)</t>
  </si>
  <si>
    <t>Floating mount &amp; others</t>
  </si>
  <si>
    <t>NVLink switch chip (4x)</t>
  </si>
  <si>
    <t>Chassis</t>
  </si>
  <si>
    <t>Switch Tray</t>
  </si>
  <si>
    <t>Floating mount</t>
  </si>
  <si>
    <t>Rack assembly &amp; test</t>
  </si>
  <si>
    <t>4x Cable Cartridge</t>
  </si>
  <si>
    <t>Cold Plate (3x)</t>
  </si>
  <si>
    <t>ASP in BOM</t>
  </si>
  <si>
    <t>Inner Manifold</t>
  </si>
  <si>
    <t>Nvidia margin</t>
  </si>
  <si>
    <t>NVQD (20x)</t>
  </si>
  <si>
    <t>Other cooling</t>
  </si>
  <si>
    <t>SOCAMM (8x per board)</t>
  </si>
  <si>
    <t>Management switch</t>
  </si>
  <si>
    <t>Spine chassis</t>
  </si>
  <si>
    <t>PCB (HDI)</t>
  </si>
  <si>
    <t>Cables</t>
  </si>
  <si>
    <t>Storage</t>
  </si>
  <si>
    <t>R200 (2x)</t>
  </si>
  <si>
    <t>CX9 NIC</t>
  </si>
  <si>
    <t>Rack Chassis</t>
  </si>
  <si>
    <t>1x Cable Cartridge</t>
  </si>
  <si>
    <t>NVL72</t>
  </si>
  <si>
    <t>R200 ASP</t>
  </si>
  <si>
    <t>Vera (1x)</t>
  </si>
  <si>
    <t>BF4 DPU Module</t>
  </si>
  <si>
    <t>9x Switch Tray</t>
  </si>
  <si>
    <t>NVL36</t>
  </si>
  <si>
    <t>Compute board</t>
  </si>
  <si>
    <t>Compute board (2x)</t>
  </si>
  <si>
    <t>18x Compute Tray</t>
  </si>
  <si>
    <t># of BMC</t>
  </si>
  <si>
    <t>Compute Tray</t>
  </si>
  <si>
    <t>VR200 NVL72 Bill of materials (US$)</t>
  </si>
  <si>
    <t>Markup</t>
  </si>
  <si>
    <t>CX ($30 each, 36x per rack)</t>
  </si>
  <si>
    <t>NVLink Switch chip</t>
  </si>
  <si>
    <t>Peripheral boards ($5 per board, 90x boards)</t>
  </si>
  <si>
    <t>NVLink ($30 each, 18x per rack)</t>
  </si>
  <si>
    <t>Blackwell GPU</t>
  </si>
  <si>
    <t>Switch board ($20 per board, 9x boards)</t>
  </si>
  <si>
    <t>Grace ($50 each, 36x per rack)</t>
  </si>
  <si>
    <t>Simplied GB200 NVL72 BOM</t>
  </si>
  <si>
    <t>Bianca ($25 per board, 36x boards)</t>
  </si>
  <si>
    <t>B200 ($100 each, 72x per rack)</t>
  </si>
  <si>
    <t>PCB board only ASP (US$)</t>
  </si>
  <si>
    <t>Peripheral PCB boards (90x)</t>
  </si>
  <si>
    <t>E1.S NVMe SSD (7.68TB)</t>
  </si>
  <si>
    <t>LPDDR5X 32GB (BF3)</t>
  </si>
  <si>
    <t>36x 480GB LPDDR5X</t>
  </si>
  <si>
    <t>NVQD</t>
  </si>
  <si>
    <t>Other cooling (includes 6x fans, etc)</t>
  </si>
  <si>
    <t>NVLink switch chip (2x)</t>
  </si>
  <si>
    <t>Fans (8x)</t>
  </si>
  <si>
    <t>LPDDR5X (480GB)</t>
  </si>
  <si>
    <t>NVQD (8x)</t>
  </si>
  <si>
    <t>B300 (2x)</t>
  </si>
  <si>
    <t>CX8 NIC</t>
  </si>
  <si>
    <t>B300 ASP</t>
  </si>
  <si>
    <t>Grace (1x)</t>
  </si>
  <si>
    <t>BF3 DPU Module</t>
  </si>
  <si>
    <t>GB300 NVL72 Bill of materials (US$)</t>
  </si>
  <si>
    <t>Bianca ($30 per board, 36x boards)</t>
  </si>
  <si>
    <t>Floating mount (2x)</t>
  </si>
  <si>
    <t>UQD (4x)</t>
  </si>
  <si>
    <t>B200 (2x)</t>
  </si>
  <si>
    <t>CX7 NIC</t>
  </si>
  <si>
    <t>B200 ASP</t>
  </si>
  <si>
    <t>GB200 NVL72 Bill of materials (US$)</t>
  </si>
  <si>
    <t>Difference</t>
  </si>
  <si>
    <t>Total MLCC Content per rack</t>
  </si>
  <si>
    <t>Units per rack</t>
  </si>
  <si>
    <t>Other peripheral PCB</t>
  </si>
  <si>
    <t>ConnectX Orchid Module</t>
  </si>
  <si>
    <t>BlueField DPU Module</t>
  </si>
  <si>
    <t>Switch PCB</t>
  </si>
  <si>
    <t>Compute PCB</t>
  </si>
  <si>
    <t>MLCC content per board (US$)</t>
  </si>
  <si>
    <t>Total ABF Content per rack</t>
  </si>
  <si>
    <t>ABF Units per rack</t>
  </si>
  <si>
    <t>ConnectX chip</t>
  </si>
  <si>
    <t>BlueField DPU</t>
  </si>
  <si>
    <t>NVSwitch ASIC</t>
  </si>
  <si>
    <t>GPU</t>
  </si>
  <si>
    <t>ABF Substrate ASP per chip (US$)</t>
  </si>
  <si>
    <t>Total cooling</t>
  </si>
  <si>
    <t>Side-car CDU</t>
  </si>
  <si>
    <t>Total PCB Content per rack</t>
  </si>
  <si>
    <t>Total cooling (ex-Side-car CDU)</t>
  </si>
  <si>
    <t>Rack-level other cooling</t>
  </si>
  <si>
    <t>Rack Manifold</t>
  </si>
  <si>
    <t>Cooling (In-tray only)</t>
  </si>
  <si>
    <t>Cooling content (US$)</t>
  </si>
  <si>
    <t>PCB Units per rack</t>
  </si>
  <si>
    <t>ConnectX PCB</t>
  </si>
  <si>
    <t>BlueField PCB</t>
  </si>
  <si>
    <t>PCB ASP per board (US$)</t>
  </si>
  <si>
    <t>Total ODM Value-Add (%)</t>
  </si>
  <si>
    <t>Total ODM Value-Add</t>
  </si>
  <si>
    <t>Cooling components</t>
  </si>
  <si>
    <t>Other peripheral boards</t>
  </si>
  <si>
    <t>CX/Orchid Module Assembly/Test</t>
  </si>
  <si>
    <t>BF DPU Assembly/Test</t>
  </si>
  <si>
    <t>Rack Assembly/Test</t>
  </si>
  <si>
    <t>Switch Tray Assembly/Test</t>
  </si>
  <si>
    <t>Other networking chips</t>
  </si>
  <si>
    <t>Switch Board Assembly/Test</t>
  </si>
  <si>
    <t>Compute Tray Assembly/Test</t>
  </si>
  <si>
    <t>Compute Board Assembly/Test</t>
  </si>
  <si>
    <t>ODM Value-Add per rack</t>
  </si>
  <si>
    <t>Diff.</t>
  </si>
  <si>
    <t>Nvidia NVL72 Bill of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</si>
</sst>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3" formatCode="_(* #,##0.00_);_(* \(#,##0.00\);_(* &quot;-&quot;??_);_(@_)"/>
    <numFmt numFmtId="164" formatCode="_(* #,##0_);_(* \(#,##0\);_(* &quot;-&quot;??_);_(@_)"/>
    <numFmt numFmtId="165" formatCode="#,##0.0"/>
    <numFmt numFmtId="166" formatCode="0.0%"/>
    <numFmt numFmtId="167" formatCode="0.0"/>
    <numFmt numFmtId="168" formatCode="#,##0.000"/>
    <numFmt numFmtId="169" formatCode="_(* #,##0.0_);_(* \(#,##0.0\);_(* &quot;-&quot;??_);_(@_)"/>
    <numFmt numFmtId="170" formatCode="#,##0.0000"/>
    <numFmt numFmtId="171" formatCode="#,##0\x"/>
  </numFmts>
  <fonts count="58" x14ac:knownFonts="1">
    <font>
      <sz val="11"/>
      <color theme="1"/>
      <name val="Aptos Narrow"/>
      <family val="2"/>
      <scheme val="minor"/>
    </font>
    <font>
      <sz val="10"/>
      <name val="Arial"/>
      <family val="2"/>
    </font>
    <font>
      <sz val="8"/>
      <color indexed="56"/>
      <name val="Tahoma"/>
      <family val="2"/>
    </font>
    <font>
      <sz val="10"/>
      <color indexed="56"/>
      <name val="Tahoma"/>
      <family val="2"/>
    </font>
    <font>
      <sz val="12"/>
      <color theme="0"/>
      <name val="Arial"/>
      <family val="2"/>
    </font>
    <font>
      <b/>
      <sz val="14"/>
      <color theme="0"/>
      <name val="Arial"/>
      <family val="2"/>
    </font>
    <font>
      <sz val="12"/>
      <color indexed="56"/>
      <name val="Arial"/>
      <family val="2"/>
    </font>
    <font>
      <sz val="10"/>
      <color indexed="56"/>
      <name val="Arial"/>
      <family val="2"/>
    </font>
    <font>
      <b/>
      <sz val="12"/>
      <color indexed="56"/>
      <name val="Tahoma"/>
      <family val="2"/>
    </font>
    <font>
      <b/>
      <sz val="10"/>
      <name val="Tahoma"/>
      <family val="2"/>
    </font>
    <font>
      <sz val="10"/>
      <name val="Tahoma"/>
      <family val="2"/>
    </font>
    <font>
      <u/>
      <sz val="10"/>
      <color indexed="12"/>
      <name val="Arial"/>
      <family val="2"/>
    </font>
    <font>
      <u/>
      <sz val="10"/>
      <color rgb="FF0000FF"/>
      <name val="Tahoma"/>
      <family val="2"/>
    </font>
    <font>
      <u/>
      <sz val="10"/>
      <name val="Tahoma"/>
      <family val="2"/>
    </font>
    <font>
      <b/>
      <sz val="10"/>
      <color indexed="56"/>
      <name val="Arial"/>
      <family val="2"/>
    </font>
    <font>
      <sz val="8"/>
      <name val="Arial"/>
      <family val="2"/>
    </font>
    <font>
      <sz val="8"/>
      <name val="Tahoma"/>
      <family val="2"/>
    </font>
    <font>
      <b/>
      <sz val="8"/>
      <name val="Tahoma"/>
      <family val="2"/>
    </font>
    <font>
      <b/>
      <sz val="8"/>
      <color rgb="FF0000FF"/>
      <name val="Arial"/>
      <family val="2"/>
    </font>
    <font>
      <i/>
      <sz val="8"/>
      <color theme="0" tint="-0.499984740745262"/>
      <name val="Arial"/>
      <family val="2"/>
    </font>
    <font>
      <b/>
      <sz val="10"/>
      <name val="Arial"/>
      <family val="2"/>
    </font>
    <font>
      <sz val="8"/>
      <color theme="1"/>
      <name val="Arial"/>
      <family val="2"/>
    </font>
    <font>
      <b/>
      <sz val="8"/>
      <color theme="0"/>
      <name val="Arial"/>
      <family val="2"/>
    </font>
    <font>
      <b/>
      <sz val="8"/>
      <color rgb="FFFF0000"/>
      <name val="Arial"/>
      <family val="2"/>
    </font>
    <font>
      <sz val="8"/>
      <color theme="0"/>
      <name val="Arial"/>
      <family val="2"/>
    </font>
    <font>
      <b/>
      <sz val="8"/>
      <color theme="0" tint="-0.34998626667073579"/>
      <name val="Arial"/>
      <family val="2"/>
    </font>
    <font>
      <b/>
      <sz val="8"/>
      <color theme="8" tint="0.39997558519241921"/>
      <name val="Arial"/>
      <family val="2"/>
    </font>
    <font>
      <sz val="8"/>
      <color theme="0" tint="-0.34998626667073579"/>
      <name val="Arial"/>
      <family val="2"/>
    </font>
    <font>
      <b/>
      <sz val="8"/>
      <color rgb="FF000000"/>
      <name val="Arial"/>
      <family val="2"/>
    </font>
    <font>
      <sz val="8"/>
      <color rgb="FF000000"/>
      <name val="Arial"/>
      <family val="2"/>
    </font>
    <font>
      <b/>
      <sz val="8"/>
      <color theme="1"/>
      <name val="Arial"/>
      <family val="2"/>
    </font>
    <font>
      <i/>
      <sz val="8"/>
      <color rgb="FF000000"/>
      <name val="Arial"/>
      <family val="2"/>
    </font>
    <font>
      <i/>
      <sz val="8"/>
      <color theme="1"/>
      <name val="Arial"/>
      <family val="2"/>
    </font>
    <font>
      <sz val="8"/>
      <color rgb="FFFF0000"/>
      <name val="Arial"/>
      <family val="2"/>
    </font>
    <font>
      <sz val="8"/>
      <color rgb="FF0000FF"/>
      <name val="Arial"/>
      <family val="2"/>
    </font>
    <font>
      <b/>
      <sz val="8"/>
      <name val="Arial"/>
      <family val="2"/>
    </font>
    <font>
      <i/>
      <sz val="8"/>
      <color theme="0" tint="-0.14999847407452621"/>
      <name val="Arial"/>
      <family val="2"/>
    </font>
    <font>
      <sz val="8"/>
      <color theme="0" tint="-0.14999847407452621"/>
      <name val="Arial"/>
      <family val="2"/>
    </font>
    <font>
      <b/>
      <sz val="9"/>
      <color indexed="81"/>
      <name val="Tahoma"/>
      <family val="2"/>
    </font>
    <font>
      <sz val="9"/>
      <color indexed="81"/>
      <name val="Tahoma"/>
      <family val="2"/>
    </font>
    <font>
      <sz val="11"/>
      <color theme="1"/>
      <name val="Aptos Narrow"/>
      <family val="2"/>
      <scheme val="minor"/>
    </font>
    <font>
      <sz val="10"/>
      <color theme="0"/>
      <name val="Calibri"/>
      <family val="2"/>
    </font>
    <font>
      <sz val="12"/>
      <color theme="1"/>
      <name val="Aptos Narrow"/>
      <family val="2"/>
      <charset val="136"/>
      <scheme val="minor"/>
    </font>
    <font>
      <sz val="11"/>
      <color theme="1"/>
      <name val="Calibri"/>
      <family val="2"/>
    </font>
    <font>
      <b/>
      <sz val="12"/>
      <color theme="1"/>
      <name val="Calibri"/>
      <family val="2"/>
    </font>
    <font>
      <sz val="11"/>
      <color theme="0"/>
      <name val="Calibri"/>
      <family val="2"/>
    </font>
    <font>
      <sz val="12"/>
      <color theme="0"/>
      <name val="Calibri"/>
      <family val="2"/>
    </font>
    <font>
      <sz val="12"/>
      <color theme="1"/>
      <name val="Calibri"/>
      <family val="2"/>
    </font>
    <font>
      <b/>
      <sz val="16"/>
      <color theme="0"/>
      <name val="Calibri"/>
      <family val="2"/>
    </font>
    <font>
      <b/>
      <sz val="11"/>
      <color theme="1"/>
      <name val="Aptos Narrow"/>
      <family val="2"/>
      <scheme val="minor"/>
    </font>
    <font>
      <b/>
      <sz val="11"/>
      <color theme="0"/>
      <name val="Aptos Narrow"/>
      <family val="2"/>
      <scheme val="minor"/>
    </font>
    <font>
      <b/>
      <sz val="20"/>
      <color rgb="FFFF0000"/>
      <name val="Aptos Narrow"/>
      <family val="2"/>
      <scheme val="minor"/>
    </font>
    <font>
      <b/>
      <sz val="11"/>
      <color theme="1"/>
      <name val="Calibri"/>
      <family val="2"/>
    </font>
    <font>
      <i/>
      <sz val="11"/>
      <color rgb="FFFF0000"/>
      <name val="Aptos Narrow"/>
      <family val="2"/>
      <scheme val="minor"/>
    </font>
    <font>
      <sz val="11"/>
      <name val="Aptos Narrow"/>
      <family val="2"/>
      <scheme val="minor"/>
    </font>
    <font>
      <b/>
      <i/>
      <sz val="11"/>
      <color theme="1"/>
      <name val="Aptos Narrow"/>
      <family val="2"/>
      <scheme val="minor"/>
    </font>
    <font>
      <i/>
      <sz val="11"/>
      <color theme="1"/>
      <name val="Aptos Narrow"/>
      <family val="2"/>
      <scheme val="minor"/>
    </font>
    <font>
      <b/>
      <i/>
      <sz val="11"/>
      <color theme="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indexed="9"/>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4.9989318521683403E-2"/>
        <bgColor indexed="64"/>
      </patternFill>
    </fill>
    <fill>
      <patternFill patternType="solid">
        <fgColor theme="4"/>
        <bgColor indexed="64"/>
      </patternFill>
    </fill>
    <fill>
      <patternFill patternType="solid">
        <fgColor rgb="FFE8EBF1"/>
        <bgColor indexed="64"/>
      </patternFill>
    </fill>
    <fill>
      <patternFill patternType="solid">
        <fgColor theme="5" tint="0.79998168889431442"/>
        <bgColor indexed="64"/>
      </patternFill>
    </fill>
    <fill>
      <patternFill patternType="solid">
        <fgColor theme="8"/>
        <bgColor indexed="64"/>
      </patternFill>
    </fill>
    <fill>
      <patternFill patternType="solid">
        <fgColor theme="1"/>
        <bgColor indexed="64"/>
      </patternFill>
    </fill>
    <fill>
      <patternFill patternType="solid">
        <fgColor theme="6"/>
        <bgColor indexed="64"/>
      </patternFill>
    </fill>
    <fill>
      <patternFill patternType="solid">
        <fgColor theme="0" tint="-0.34998626667073579"/>
        <bgColor indexed="64"/>
      </patternFill>
    </fill>
    <fill>
      <patternFill patternType="solid">
        <fgColor theme="5"/>
        <bgColor indexed="64"/>
      </patternFill>
    </fill>
    <fill>
      <patternFill patternType="solid">
        <fgColor theme="6" tint="0.79998168889431442"/>
        <bgColor indexed="64"/>
      </patternFill>
    </fill>
    <fill>
      <patternFill patternType="solid">
        <fgColor theme="0" tint="-0.499984740745262"/>
        <bgColor indexed="64"/>
      </patternFill>
    </fill>
    <fill>
      <patternFill patternType="solid">
        <fgColor theme="7" tint="0.79998168889431442"/>
        <bgColor indexed="64"/>
      </patternFill>
    </fill>
  </fills>
  <borders count="47">
    <border>
      <left/>
      <right/>
      <top/>
      <bottom/>
      <diagonal/>
    </border>
    <border>
      <left/>
      <right/>
      <top/>
      <bottom style="thin">
        <color indexed="64"/>
      </bottom>
      <diagonal/>
    </border>
    <border>
      <left/>
      <right style="thin">
        <color indexed="64"/>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0"/>
      </left>
      <right/>
      <top style="medium">
        <color theme="0"/>
      </top>
      <bottom/>
      <diagonal/>
    </border>
    <border>
      <left style="medium">
        <color theme="0"/>
      </left>
      <right style="medium">
        <color theme="0"/>
      </right>
      <top style="medium">
        <color theme="0"/>
      </top>
      <bottom/>
      <diagonal/>
    </border>
    <border>
      <left style="medium">
        <color theme="0"/>
      </left>
      <right/>
      <top/>
      <bottom/>
      <diagonal/>
    </border>
    <border>
      <left style="medium">
        <color theme="0"/>
      </left>
      <right style="medium">
        <color theme="0"/>
      </right>
      <top/>
      <bottom/>
      <diagonal/>
    </border>
    <border>
      <left style="medium">
        <color theme="0"/>
      </left>
      <right/>
      <top/>
      <bottom style="medium">
        <color theme="0"/>
      </bottom>
      <diagonal/>
    </border>
    <border>
      <left style="medium">
        <color theme="0"/>
      </left>
      <right style="medium">
        <color theme="0"/>
      </right>
      <top/>
      <bottom style="medium">
        <color theme="0"/>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theme="0"/>
      </left>
      <right style="thin">
        <color theme="0"/>
      </right>
      <top style="thin">
        <color theme="0"/>
      </top>
      <bottom style="thin">
        <color theme="0"/>
      </bottom>
      <diagonal/>
    </border>
    <border>
      <left/>
      <right style="medium">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style="thin">
        <color theme="0"/>
      </left>
      <right style="medium">
        <color theme="0"/>
      </right>
      <top style="medium">
        <color theme="0"/>
      </top>
      <bottom style="thin">
        <color theme="0"/>
      </bottom>
      <diagonal/>
    </border>
    <border>
      <left style="medium">
        <color theme="0"/>
      </left>
      <right style="medium">
        <color theme="0"/>
      </right>
      <top style="medium">
        <color theme="0"/>
      </top>
      <bottom style="thin">
        <color theme="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12">
    <xf numFmtId="0" fontId="0" fillId="0" borderId="0"/>
    <xf numFmtId="0" fontId="1" fillId="0" borderId="0" applyNumberFormat="0" applyFill="0" applyBorder="0" applyAlignment="0" applyProtection="0">
      <alignment vertical="center"/>
    </xf>
    <xf numFmtId="0" fontId="1" fillId="0" borderId="0"/>
    <xf numFmtId="0" fontId="11" fillId="0" borderId="0" applyNumberFormat="0" applyFill="0" applyBorder="0" applyAlignment="0" applyProtection="0">
      <alignment vertical="top"/>
      <protection locked="0"/>
    </xf>
    <xf numFmtId="0" fontId="15" fillId="4" borderId="0" applyNumberFormat="0" applyFont="0" applyBorder="0" applyAlignment="0" applyProtection="0"/>
    <xf numFmtId="43" fontId="1" fillId="0" borderId="0" applyFont="0" applyFill="0" applyBorder="0" applyAlignment="0" applyProtection="0">
      <alignment vertical="center"/>
    </xf>
    <xf numFmtId="0" fontId="21" fillId="0" borderId="0"/>
    <xf numFmtId="43" fontId="21" fillId="0" borderId="0" applyFont="0" applyFill="0" applyBorder="0" applyAlignment="0" applyProtection="0"/>
    <xf numFmtId="9" fontId="21" fillId="0" borderId="0" applyFont="0" applyFill="0" applyBorder="0" applyAlignment="0" applyProtection="0"/>
    <xf numFmtId="0" fontId="42" fillId="0" borderId="0">
      <alignment vertical="center"/>
    </xf>
    <xf numFmtId="0" fontId="40" fillId="0" borderId="0"/>
    <xf numFmtId="9" fontId="40" fillId="0" borderId="0" applyFont="0" applyFill="0" applyBorder="0" applyAlignment="0" applyProtection="0"/>
  </cellStyleXfs>
  <cellXfs count="343">
    <xf numFmtId="0" fontId="0" fillId="0" borderId="0" xfId="0"/>
    <xf numFmtId="3" fontId="2" fillId="2" borderId="0" xfId="1" applyNumberFormat="1" applyFont="1" applyFill="1" applyBorder="1" applyAlignment="1"/>
    <xf numFmtId="3" fontId="3" fillId="2" borderId="0" xfId="1" applyNumberFormat="1" applyFont="1" applyFill="1" applyBorder="1" applyAlignment="1"/>
    <xf numFmtId="3" fontId="2" fillId="2" borderId="0" xfId="1" applyNumberFormat="1" applyFont="1" applyFill="1" applyBorder="1" applyAlignment="1">
      <alignment horizontal="left"/>
    </xf>
    <xf numFmtId="0" fontId="4" fillId="3" borderId="0" xfId="2" applyFont="1" applyFill="1" applyAlignment="1">
      <alignment vertical="center"/>
    </xf>
    <xf numFmtId="0" fontId="5" fillId="3" borderId="0" xfId="2" applyFont="1" applyFill="1" applyAlignment="1">
      <alignment vertical="center"/>
    </xf>
    <xf numFmtId="0" fontId="4" fillId="3" borderId="0" xfId="2" applyFont="1" applyFill="1"/>
    <xf numFmtId="0" fontId="6" fillId="2" borderId="0" xfId="2" applyFont="1" applyFill="1"/>
    <xf numFmtId="0" fontId="7" fillId="2" borderId="0" xfId="2" applyFont="1" applyFill="1"/>
    <xf numFmtId="0" fontId="8" fillId="2" borderId="0" xfId="1" applyNumberFormat="1" applyFont="1" applyFill="1" applyBorder="1" applyAlignment="1"/>
    <xf numFmtId="0" fontId="8" fillId="2" borderId="0" xfId="1" applyNumberFormat="1" applyFont="1" applyFill="1" applyBorder="1" applyAlignment="1">
      <alignment horizontal="left" indent="3"/>
    </xf>
    <xf numFmtId="0" fontId="9" fillId="2" borderId="1" xfId="1" applyNumberFormat="1" applyFont="1" applyFill="1" applyBorder="1" applyAlignment="1"/>
    <xf numFmtId="0" fontId="3" fillId="2" borderId="1" xfId="1" applyNumberFormat="1" applyFont="1" applyFill="1" applyBorder="1" applyAlignment="1"/>
    <xf numFmtId="0" fontId="10" fillId="2" borderId="1" xfId="1" applyNumberFormat="1" applyFont="1" applyFill="1" applyBorder="1" applyAlignment="1"/>
    <xf numFmtId="0" fontId="10" fillId="2" borderId="1" xfId="1" applyNumberFormat="1" applyFont="1" applyFill="1" applyBorder="1" applyAlignment="1">
      <alignment horizontal="left" indent="3"/>
    </xf>
    <xf numFmtId="0" fontId="10" fillId="2" borderId="0" xfId="1" applyNumberFormat="1" applyFont="1" applyFill="1" applyBorder="1" applyAlignment="1"/>
    <xf numFmtId="0" fontId="3" fillId="2" borderId="0" xfId="1" applyNumberFormat="1" applyFont="1" applyFill="1" applyBorder="1" applyAlignment="1"/>
    <xf numFmtId="0" fontId="10" fillId="2" borderId="0" xfId="1" quotePrefix="1" applyNumberFormat="1" applyFont="1" applyFill="1" applyBorder="1" applyAlignment="1"/>
    <xf numFmtId="0" fontId="12" fillId="2" borderId="0" xfId="3" applyNumberFormat="1" applyFont="1" applyFill="1" applyBorder="1" applyAlignment="1" applyProtection="1"/>
    <xf numFmtId="0" fontId="10" fillId="2" borderId="0" xfId="1" applyNumberFormat="1" applyFont="1" applyFill="1" applyBorder="1" applyAlignment="1">
      <alignment horizontal="left" indent="3"/>
    </xf>
    <xf numFmtId="0" fontId="13" fillId="2" borderId="0" xfId="3" applyNumberFormat="1" applyFont="1" applyFill="1" applyBorder="1" applyAlignment="1" applyProtection="1"/>
    <xf numFmtId="0" fontId="14" fillId="2" borderId="0" xfId="2" applyFont="1" applyFill="1"/>
    <xf numFmtId="0" fontId="1" fillId="2" borderId="0" xfId="2" applyFill="1"/>
    <xf numFmtId="0" fontId="1" fillId="2" borderId="0" xfId="2" applyFill="1" applyAlignment="1">
      <alignment vertical="top" wrapText="1"/>
    </xf>
    <xf numFmtId="164" fontId="18" fillId="0" borderId="2" xfId="5" applyNumberFormat="1" applyFont="1" applyFill="1" applyBorder="1" applyAlignment="1"/>
    <xf numFmtId="0" fontId="19" fillId="2" borderId="0" xfId="2" applyFont="1" applyFill="1"/>
    <xf numFmtId="164" fontId="19" fillId="2" borderId="0" xfId="2" applyNumberFormat="1" applyFont="1" applyFill="1"/>
    <xf numFmtId="0" fontId="1" fillId="2" borderId="0" xfId="2" applyFill="1" applyAlignment="1">
      <alignment horizontal="left" vertical="top" wrapText="1"/>
    </xf>
    <xf numFmtId="9" fontId="7" fillId="2" borderId="0" xfId="2" applyNumberFormat="1" applyFont="1" applyFill="1"/>
    <xf numFmtId="0" fontId="22" fillId="3" borderId="0" xfId="6" applyFont="1" applyFill="1" applyAlignment="1">
      <alignment vertical="center"/>
    </xf>
    <xf numFmtId="0" fontId="22" fillId="3" borderId="0" xfId="6" applyFont="1" applyFill="1" applyAlignment="1">
      <alignment horizontal="center" vertical="center"/>
    </xf>
    <xf numFmtId="0" fontId="22" fillId="3" borderId="0" xfId="6" applyFont="1" applyFill="1" applyAlignment="1">
      <alignment horizontal="center" vertical="center" wrapText="1"/>
    </xf>
    <xf numFmtId="0" fontId="21" fillId="0" borderId="0" xfId="6" applyAlignment="1">
      <alignment vertical="center"/>
    </xf>
    <xf numFmtId="0" fontId="15" fillId="0" borderId="0" xfId="6" applyFont="1" applyAlignment="1">
      <alignment vertical="center"/>
    </xf>
    <xf numFmtId="0" fontId="23" fillId="0" borderId="0" xfId="6" applyFont="1" applyAlignment="1">
      <alignment vertical="center"/>
    </xf>
    <xf numFmtId="0" fontId="24" fillId="0" borderId="0" xfId="6" applyFont="1" applyAlignment="1">
      <alignment vertical="center"/>
    </xf>
    <xf numFmtId="0" fontId="22" fillId="3" borderId="3" xfId="6" applyFont="1" applyFill="1" applyBorder="1" applyAlignment="1">
      <alignment vertical="center"/>
    </xf>
    <xf numFmtId="0" fontId="22" fillId="3" borderId="3" xfId="6" applyFont="1" applyFill="1" applyBorder="1" applyAlignment="1">
      <alignment horizontal="center" vertical="center"/>
    </xf>
    <xf numFmtId="0" fontId="25" fillId="3" borderId="3" xfId="6" applyFont="1" applyFill="1" applyBorder="1" applyAlignment="1">
      <alignment horizontal="center" vertical="center" wrapText="1"/>
    </xf>
    <xf numFmtId="0" fontId="22" fillId="3" borderId="3" xfId="6" applyFont="1" applyFill="1" applyBorder="1" applyAlignment="1">
      <alignment horizontal="center" vertical="center" wrapText="1"/>
    </xf>
    <xf numFmtId="0" fontId="21" fillId="0" borderId="3" xfId="6" applyBorder="1" applyAlignment="1">
      <alignment vertical="center"/>
    </xf>
    <xf numFmtId="0" fontId="21" fillId="0" borderId="3" xfId="6" applyBorder="1" applyAlignment="1">
      <alignment horizontal="center" vertical="center"/>
    </xf>
    <xf numFmtId="0" fontId="27" fillId="0" borderId="3" xfId="6" applyFont="1" applyBorder="1" applyAlignment="1">
      <alignment horizontal="center" vertical="center"/>
    </xf>
    <xf numFmtId="0" fontId="21" fillId="5" borderId="3" xfId="6" applyFill="1" applyBorder="1" applyAlignment="1">
      <alignment vertical="center"/>
    </xf>
    <xf numFmtId="0" fontId="21" fillId="5" borderId="3" xfId="6" applyFill="1" applyBorder="1" applyAlignment="1">
      <alignment horizontal="center" vertical="center"/>
    </xf>
    <xf numFmtId="0" fontId="27" fillId="5" borderId="3" xfId="6" applyFont="1" applyFill="1" applyBorder="1" applyAlignment="1">
      <alignment horizontal="center" vertical="center"/>
    </xf>
    <xf numFmtId="0" fontId="21" fillId="2" borderId="3" xfId="6" applyFill="1" applyBorder="1" applyAlignment="1">
      <alignment vertical="center"/>
    </xf>
    <xf numFmtId="0" fontId="21" fillId="2" borderId="3" xfId="6" applyFill="1" applyBorder="1" applyAlignment="1">
      <alignment horizontal="center" vertical="center"/>
    </xf>
    <xf numFmtId="0" fontId="27" fillId="2" borderId="3" xfId="6" applyFont="1" applyFill="1" applyBorder="1" applyAlignment="1">
      <alignment horizontal="center" vertical="center"/>
    </xf>
    <xf numFmtId="0" fontId="21" fillId="5" borderId="3" xfId="6" applyFill="1" applyBorder="1" applyAlignment="1">
      <alignment horizontal="center" vertical="center" wrapText="1"/>
    </xf>
    <xf numFmtId="0" fontId="21" fillId="2" borderId="0" xfId="6" applyFill="1" applyAlignment="1">
      <alignment vertical="center"/>
    </xf>
    <xf numFmtId="0" fontId="21" fillId="2" borderId="0" xfId="6" applyFill="1" applyAlignment="1">
      <alignment horizontal="center" vertical="center"/>
    </xf>
    <xf numFmtId="0" fontId="27" fillId="2" borderId="0" xfId="6" applyFont="1" applyFill="1" applyAlignment="1">
      <alignment horizontal="center" vertical="center"/>
    </xf>
    <xf numFmtId="0" fontId="21" fillId="2" borderId="0" xfId="6" applyFill="1"/>
    <xf numFmtId="0" fontId="30" fillId="2" borderId="0" xfId="6" applyFont="1" applyFill="1"/>
    <xf numFmtId="165" fontId="21" fillId="2" borderId="0" xfId="6" applyNumberFormat="1" applyFill="1"/>
    <xf numFmtId="0" fontId="22" fillId="3" borderId="0" xfId="6" applyFont="1" applyFill="1" applyAlignment="1">
      <alignment horizontal="left"/>
    </xf>
    <xf numFmtId="0" fontId="29" fillId="2" borderId="1" xfId="6" applyFont="1" applyFill="1" applyBorder="1"/>
    <xf numFmtId="0" fontId="30" fillId="2" borderId="1" xfId="6" applyFont="1" applyFill="1" applyBorder="1"/>
    <xf numFmtId="0" fontId="28" fillId="2" borderId="1" xfId="6" applyFont="1" applyFill="1" applyBorder="1"/>
    <xf numFmtId="0" fontId="28" fillId="2" borderId="0" xfId="6" applyFont="1" applyFill="1"/>
    <xf numFmtId="3" fontId="30" fillId="2" borderId="0" xfId="6" applyNumberFormat="1" applyFont="1" applyFill="1"/>
    <xf numFmtId="3" fontId="28" fillId="2" borderId="0" xfId="6" applyNumberFormat="1" applyFont="1" applyFill="1"/>
    <xf numFmtId="9" fontId="0" fillId="2" borderId="0" xfId="8" applyFont="1" applyFill="1"/>
    <xf numFmtId="9" fontId="21" fillId="2" borderId="0" xfId="6" applyNumberFormat="1" applyFill="1"/>
    <xf numFmtId="0" fontId="29" fillId="5" borderId="0" xfId="6" applyFont="1" applyFill="1"/>
    <xf numFmtId="3" fontId="30" fillId="5" borderId="0" xfId="6" applyNumberFormat="1" applyFont="1" applyFill="1"/>
    <xf numFmtId="3" fontId="29" fillId="5" borderId="0" xfId="6" applyNumberFormat="1" applyFont="1" applyFill="1"/>
    <xf numFmtId="0" fontId="29" fillId="5" borderId="0" xfId="6" applyFont="1" applyFill="1" applyAlignment="1">
      <alignment horizontal="left" indent="1"/>
    </xf>
    <xf numFmtId="3" fontId="21" fillId="5" borderId="0" xfId="6" applyNumberFormat="1" applyFill="1"/>
    <xf numFmtId="3" fontId="21" fillId="2" borderId="0" xfId="6" applyNumberFormat="1" applyFill="1"/>
    <xf numFmtId="0" fontId="29" fillId="2" borderId="0" xfId="6" applyFont="1" applyFill="1"/>
    <xf numFmtId="3" fontId="29" fillId="2" borderId="0" xfId="6" applyNumberFormat="1" applyFont="1" applyFill="1"/>
    <xf numFmtId="0" fontId="29" fillId="2" borderId="0" xfId="6" applyFont="1" applyFill="1" applyAlignment="1">
      <alignment horizontal="left" indent="1"/>
    </xf>
    <xf numFmtId="0" fontId="28" fillId="5" borderId="5" xfId="6" applyFont="1" applyFill="1" applyBorder="1"/>
    <xf numFmtId="3" fontId="30" fillId="5" borderId="6" xfId="6" applyNumberFormat="1" applyFont="1" applyFill="1" applyBorder="1"/>
    <xf numFmtId="3" fontId="28" fillId="5" borderId="6" xfId="6" applyNumberFormat="1" applyFont="1" applyFill="1" applyBorder="1"/>
    <xf numFmtId="165" fontId="28" fillId="5" borderId="6" xfId="6" applyNumberFormat="1" applyFont="1" applyFill="1" applyBorder="1"/>
    <xf numFmtId="165" fontId="28" fillId="5" borderId="7" xfId="6" applyNumberFormat="1" applyFont="1" applyFill="1" applyBorder="1"/>
    <xf numFmtId="0" fontId="19" fillId="2" borderId="0" xfId="6" applyFont="1" applyFill="1"/>
    <xf numFmtId="164" fontId="19" fillId="2" borderId="0" xfId="6" applyNumberFormat="1" applyFont="1" applyFill="1"/>
    <xf numFmtId="9" fontId="30" fillId="2" borderId="0" xfId="6" applyNumberFormat="1" applyFont="1" applyFill="1"/>
    <xf numFmtId="0" fontId="29" fillId="5" borderId="8" xfId="6" applyFont="1" applyFill="1" applyBorder="1" applyAlignment="1">
      <alignment horizontal="left" indent="1"/>
    </xf>
    <xf numFmtId="165" fontId="29" fillId="5" borderId="0" xfId="6" applyNumberFormat="1" applyFont="1" applyFill="1"/>
    <xf numFmtId="165" fontId="29" fillId="5" borderId="9" xfId="6" applyNumberFormat="1" applyFont="1" applyFill="1" applyBorder="1"/>
    <xf numFmtId="0" fontId="29" fillId="5" borderId="10" xfId="6" applyFont="1" applyFill="1" applyBorder="1" applyAlignment="1">
      <alignment horizontal="left" indent="1"/>
    </xf>
    <xf numFmtId="3" fontId="21" fillId="5" borderId="11" xfId="6" applyNumberFormat="1" applyFill="1" applyBorder="1"/>
    <xf numFmtId="3" fontId="29" fillId="5" borderId="11" xfId="6" applyNumberFormat="1" applyFont="1" applyFill="1" applyBorder="1"/>
    <xf numFmtId="165" fontId="29" fillId="5" borderId="11" xfId="6" applyNumberFormat="1" applyFont="1" applyFill="1" applyBorder="1"/>
    <xf numFmtId="165" fontId="29" fillId="5" borderId="12" xfId="6" applyNumberFormat="1" applyFont="1" applyFill="1" applyBorder="1"/>
    <xf numFmtId="9" fontId="28" fillId="2" borderId="0" xfId="8" applyFont="1" applyFill="1" applyAlignment="1">
      <alignment horizontal="right"/>
    </xf>
    <xf numFmtId="9" fontId="28" fillId="2" borderId="0" xfId="8" applyFont="1" applyFill="1" applyBorder="1" applyAlignment="1">
      <alignment horizontal="right"/>
    </xf>
    <xf numFmtId="0" fontId="21" fillId="5" borderId="0" xfId="6" applyFill="1"/>
    <xf numFmtId="9" fontId="28" fillId="5" borderId="0" xfId="8" applyFont="1" applyFill="1" applyAlignment="1">
      <alignment horizontal="right"/>
    </xf>
    <xf numFmtId="9" fontId="28" fillId="5" borderId="0" xfId="8" applyFont="1" applyFill="1" applyBorder="1" applyAlignment="1">
      <alignment horizontal="right"/>
    </xf>
    <xf numFmtId="9" fontId="29" fillId="5" borderId="0" xfId="8" applyFont="1" applyFill="1" applyAlignment="1">
      <alignment horizontal="right"/>
    </xf>
    <xf numFmtId="9" fontId="29" fillId="5" borderId="0" xfId="8" applyFont="1" applyFill="1" applyBorder="1" applyAlignment="1">
      <alignment horizontal="right"/>
    </xf>
    <xf numFmtId="9" fontId="29" fillId="2" borderId="0" xfId="8" applyFont="1" applyFill="1" applyAlignment="1">
      <alignment horizontal="right"/>
    </xf>
    <xf numFmtId="9" fontId="29" fillId="2" borderId="0" xfId="8" applyFont="1" applyFill="1" applyBorder="1" applyAlignment="1">
      <alignment horizontal="right"/>
    </xf>
    <xf numFmtId="0" fontId="28" fillId="5" borderId="0" xfId="6" applyFont="1" applyFill="1"/>
    <xf numFmtId="0" fontId="30" fillId="5" borderId="0" xfId="6" applyFont="1" applyFill="1"/>
    <xf numFmtId="0" fontId="28" fillId="2" borderId="13" xfId="6" applyFont="1" applyFill="1" applyBorder="1"/>
    <xf numFmtId="3" fontId="30" fillId="2" borderId="14" xfId="6" applyNumberFormat="1" applyFont="1" applyFill="1" applyBorder="1"/>
    <xf numFmtId="3" fontId="28" fillId="2" borderId="14" xfId="6" applyNumberFormat="1" applyFont="1" applyFill="1" applyBorder="1"/>
    <xf numFmtId="3" fontId="28" fillId="2" borderId="15" xfId="6" applyNumberFormat="1" applyFont="1" applyFill="1" applyBorder="1"/>
    <xf numFmtId="0" fontId="31" fillId="2" borderId="16" xfId="6" applyFont="1" applyFill="1" applyBorder="1" applyAlignment="1">
      <alignment horizontal="left" indent="1"/>
    </xf>
    <xf numFmtId="0" fontId="32" fillId="2" borderId="0" xfId="6" applyFont="1" applyFill="1"/>
    <xf numFmtId="9" fontId="31" fillId="2" borderId="0" xfId="8" applyFont="1" applyFill="1" applyBorder="1"/>
    <xf numFmtId="9" fontId="31" fillId="2" borderId="17" xfId="8" applyFont="1" applyFill="1" applyBorder="1"/>
    <xf numFmtId="0" fontId="28" fillId="2" borderId="16" xfId="6" applyFont="1" applyFill="1" applyBorder="1"/>
    <xf numFmtId="3" fontId="28" fillId="2" borderId="17" xfId="6" applyNumberFormat="1" applyFont="1" applyFill="1" applyBorder="1"/>
    <xf numFmtId="0" fontId="31" fillId="2" borderId="18" xfId="6" applyFont="1" applyFill="1" applyBorder="1" applyAlignment="1">
      <alignment horizontal="left" indent="1"/>
    </xf>
    <xf numFmtId="0" fontId="32" fillId="2" borderId="19" xfId="6" applyFont="1" applyFill="1" applyBorder="1"/>
    <xf numFmtId="9" fontId="31" fillId="2" borderId="19" xfId="8" applyFont="1" applyFill="1" applyBorder="1"/>
    <xf numFmtId="9" fontId="31" fillId="2" borderId="20" xfId="8" applyFont="1" applyFill="1" applyBorder="1"/>
    <xf numFmtId="0" fontId="31" fillId="2" borderId="0" xfId="6" applyFont="1" applyFill="1" applyAlignment="1">
      <alignment horizontal="left" indent="1"/>
    </xf>
    <xf numFmtId="0" fontId="21" fillId="2" borderId="0" xfId="6" applyFill="1" applyAlignment="1">
      <alignment horizontal="left" indent="1"/>
    </xf>
    <xf numFmtId="0" fontId="21" fillId="2" borderId="13" xfId="6" applyFill="1" applyBorder="1"/>
    <xf numFmtId="3" fontId="21" fillId="2" borderId="14" xfId="6" applyNumberFormat="1" applyFill="1" applyBorder="1"/>
    <xf numFmtId="3" fontId="21" fillId="2" borderId="15" xfId="6" applyNumberFormat="1" applyFill="1" applyBorder="1"/>
    <xf numFmtId="0" fontId="23" fillId="2" borderId="18" xfId="6" applyFont="1" applyFill="1" applyBorder="1"/>
    <xf numFmtId="166" fontId="23" fillId="2" borderId="19" xfId="8" applyNumberFormat="1" applyFont="1" applyFill="1" applyBorder="1"/>
    <xf numFmtId="166" fontId="23" fillId="2" borderId="20" xfId="8" applyNumberFormat="1" applyFont="1" applyFill="1" applyBorder="1"/>
    <xf numFmtId="0" fontId="23" fillId="2" borderId="0" xfId="6" applyFont="1" applyFill="1"/>
    <xf numFmtId="166" fontId="23" fillId="2" borderId="0" xfId="8" applyNumberFormat="1" applyFont="1" applyFill="1" applyBorder="1"/>
    <xf numFmtId="0" fontId="23" fillId="7" borderId="0" xfId="6" applyFont="1" applyFill="1"/>
    <xf numFmtId="166" fontId="23" fillId="7" borderId="0" xfId="8" applyNumberFormat="1" applyFont="1" applyFill="1" applyBorder="1"/>
    <xf numFmtId="0" fontId="30" fillId="7" borderId="0" xfId="6" applyFont="1" applyFill="1" applyAlignment="1">
      <alignment horizontal="center"/>
    </xf>
    <xf numFmtId="0" fontId="30" fillId="7" borderId="0" xfId="6" applyFont="1" applyFill="1"/>
    <xf numFmtId="3" fontId="30" fillId="7" borderId="0" xfId="6" applyNumberFormat="1" applyFont="1" applyFill="1"/>
    <xf numFmtId="0" fontId="21" fillId="7" borderId="0" xfId="6" applyFill="1" applyAlignment="1">
      <alignment horizontal="left" indent="1"/>
    </xf>
    <xf numFmtId="3" fontId="21" fillId="7" borderId="0" xfId="6" applyNumberFormat="1" applyFill="1"/>
    <xf numFmtId="9" fontId="21" fillId="7" borderId="0" xfId="8" applyFont="1" applyFill="1"/>
    <xf numFmtId="166" fontId="33" fillId="2" borderId="0" xfId="8" applyNumberFormat="1" applyFont="1" applyFill="1" applyBorder="1"/>
    <xf numFmtId="0" fontId="30" fillId="2" borderId="0" xfId="6" applyFont="1" applyFill="1" applyAlignment="1">
      <alignment horizontal="right"/>
    </xf>
    <xf numFmtId="1" fontId="21" fillId="2" borderId="0" xfId="6" applyNumberFormat="1" applyFill="1"/>
    <xf numFmtId="167" fontId="21" fillId="2" borderId="0" xfId="6" applyNumberFormat="1" applyFill="1"/>
    <xf numFmtId="2" fontId="21" fillId="2" borderId="0" xfId="6" applyNumberFormat="1" applyFill="1"/>
    <xf numFmtId="4" fontId="30" fillId="2" borderId="0" xfId="6" applyNumberFormat="1" applyFont="1" applyFill="1"/>
    <xf numFmtId="0" fontId="30" fillId="2" borderId="0" xfId="6" applyFont="1" applyFill="1" applyAlignment="1">
      <alignment horizontal="center"/>
    </xf>
    <xf numFmtId="4" fontId="21" fillId="2" borderId="0" xfId="6" applyNumberFormat="1" applyFill="1"/>
    <xf numFmtId="0" fontId="22" fillId="8" borderId="4" xfId="6" applyFont="1" applyFill="1" applyBorder="1"/>
    <xf numFmtId="0" fontId="22" fillId="8" borderId="3" xfId="6" applyFont="1" applyFill="1" applyBorder="1" applyAlignment="1">
      <alignment horizontal="center"/>
    </xf>
    <xf numFmtId="0" fontId="21" fillId="9" borderId="21" xfId="6" applyFill="1" applyBorder="1"/>
    <xf numFmtId="0" fontId="21" fillId="9" borderId="22" xfId="6" applyFill="1" applyBorder="1" applyAlignment="1">
      <alignment horizontal="center"/>
    </xf>
    <xf numFmtId="0" fontId="21" fillId="9" borderId="23" xfId="6" applyFill="1" applyBorder="1"/>
    <xf numFmtId="0" fontId="21" fillId="9" borderId="24" xfId="6" applyFill="1" applyBorder="1" applyAlignment="1">
      <alignment horizontal="center"/>
    </xf>
    <xf numFmtId="0" fontId="21" fillId="9" borderId="25" xfId="6" applyFill="1" applyBorder="1"/>
    <xf numFmtId="0" fontId="21" fillId="9" borderId="26" xfId="6" applyFill="1" applyBorder="1" applyAlignment="1">
      <alignment horizontal="center"/>
    </xf>
    <xf numFmtId="168" fontId="30" fillId="2" borderId="0" xfId="6" applyNumberFormat="1" applyFont="1" applyFill="1"/>
    <xf numFmtId="0" fontId="22" fillId="3" borderId="13" xfId="6" applyFont="1" applyFill="1" applyBorder="1"/>
    <xf numFmtId="0" fontId="22" fillId="3" borderId="14" xfId="6" applyFont="1" applyFill="1" applyBorder="1" applyAlignment="1">
      <alignment horizontal="center"/>
    </xf>
    <xf numFmtId="0" fontId="22" fillId="3" borderId="15" xfId="6" applyFont="1" applyFill="1" applyBorder="1" applyAlignment="1">
      <alignment horizontal="center"/>
    </xf>
    <xf numFmtId="0" fontId="21" fillId="2" borderId="16" xfId="6" applyFill="1" applyBorder="1"/>
    <xf numFmtId="3" fontId="21" fillId="2" borderId="0" xfId="6" applyNumberFormat="1" applyFill="1" applyAlignment="1">
      <alignment horizontal="center"/>
    </xf>
    <xf numFmtId="3" fontId="21" fillId="2" borderId="17" xfId="6" applyNumberFormat="1" applyFill="1" applyBorder="1" applyAlignment="1">
      <alignment horizontal="center"/>
    </xf>
    <xf numFmtId="0" fontId="21" fillId="2" borderId="16" xfId="6" applyFill="1" applyBorder="1" applyAlignment="1">
      <alignment horizontal="left" indent="1"/>
    </xf>
    <xf numFmtId="0" fontId="21" fillId="2" borderId="18" xfId="6" applyFill="1" applyBorder="1" applyAlignment="1">
      <alignment horizontal="left" indent="1"/>
    </xf>
    <xf numFmtId="3" fontId="21" fillId="2" borderId="19" xfId="6" applyNumberFormat="1" applyFill="1" applyBorder="1" applyAlignment="1">
      <alignment horizontal="center"/>
    </xf>
    <xf numFmtId="3" fontId="21" fillId="2" borderId="20" xfId="6" applyNumberFormat="1" applyFill="1" applyBorder="1" applyAlignment="1">
      <alignment horizontal="center"/>
    </xf>
    <xf numFmtId="0" fontId="21" fillId="2" borderId="0" xfId="6" applyFill="1" applyAlignment="1">
      <alignment horizontal="right"/>
    </xf>
    <xf numFmtId="3" fontId="21" fillId="2" borderId="0" xfId="6" applyNumberFormat="1" applyFill="1" applyAlignment="1">
      <alignment horizontal="right"/>
    </xf>
    <xf numFmtId="165" fontId="21" fillId="2" borderId="0" xfId="6" applyNumberFormat="1" applyFill="1" applyAlignment="1">
      <alignment horizontal="right"/>
    </xf>
    <xf numFmtId="0" fontId="21" fillId="2" borderId="0" xfId="6" applyFill="1" applyAlignment="1">
      <alignment horizontal="left" indent="2"/>
    </xf>
    <xf numFmtId="0" fontId="22" fillId="3" borderId="14" xfId="6" applyFont="1" applyFill="1" applyBorder="1"/>
    <xf numFmtId="0" fontId="22" fillId="3" borderId="27" xfId="6" applyFont="1" applyFill="1" applyBorder="1"/>
    <xf numFmtId="0" fontId="22" fillId="3" borderId="15" xfId="6" applyFont="1" applyFill="1" applyBorder="1"/>
    <xf numFmtId="3" fontId="34" fillId="10" borderId="28" xfId="6" applyNumberFormat="1" applyFont="1" applyFill="1" applyBorder="1"/>
    <xf numFmtId="3" fontId="34" fillId="10" borderId="29" xfId="6" applyNumberFormat="1" applyFont="1" applyFill="1" applyBorder="1" applyAlignment="1">
      <alignment horizontal="right"/>
    </xf>
    <xf numFmtId="0" fontId="21" fillId="2" borderId="18" xfId="6" applyFill="1" applyBorder="1"/>
    <xf numFmtId="0" fontId="21" fillId="2" borderId="19" xfId="6" applyFill="1" applyBorder="1"/>
    <xf numFmtId="3" fontId="34" fillId="10" borderId="30" xfId="6" applyNumberFormat="1" applyFont="1" applyFill="1" applyBorder="1" applyAlignment="1">
      <alignment horizontal="right"/>
    </xf>
    <xf numFmtId="0" fontId="24" fillId="3" borderId="14" xfId="6" applyFont="1" applyFill="1" applyBorder="1"/>
    <xf numFmtId="3" fontId="21" fillId="2" borderId="17" xfId="6" applyNumberFormat="1" applyFill="1" applyBorder="1"/>
    <xf numFmtId="3" fontId="34" fillId="10" borderId="29" xfId="6" applyNumberFormat="1" applyFont="1" applyFill="1" applyBorder="1"/>
    <xf numFmtId="169" fontId="0" fillId="2" borderId="17" xfId="7" applyNumberFormat="1" applyFont="1" applyFill="1" applyBorder="1"/>
    <xf numFmtId="9" fontId="34" fillId="10" borderId="29" xfId="8" applyFont="1" applyFill="1" applyBorder="1"/>
    <xf numFmtId="0" fontId="23" fillId="2" borderId="19" xfId="6" applyFont="1" applyFill="1" applyBorder="1"/>
    <xf numFmtId="169" fontId="23" fillId="2" borderId="20" xfId="7" applyNumberFormat="1" applyFont="1" applyFill="1" applyBorder="1"/>
    <xf numFmtId="169" fontId="0" fillId="2" borderId="0" xfId="7" applyNumberFormat="1" applyFont="1" applyFill="1"/>
    <xf numFmtId="3" fontId="34" fillId="10" borderId="31" xfId="6" applyNumberFormat="1" applyFont="1" applyFill="1" applyBorder="1"/>
    <xf numFmtId="169" fontId="0" fillId="2" borderId="0" xfId="7" applyNumberFormat="1" applyFont="1" applyFill="1" applyBorder="1"/>
    <xf numFmtId="9" fontId="34" fillId="10" borderId="31" xfId="8" applyFont="1" applyFill="1" applyBorder="1"/>
    <xf numFmtId="0" fontId="35" fillId="2" borderId="16" xfId="6" applyFont="1" applyFill="1" applyBorder="1"/>
    <xf numFmtId="0" fontId="15" fillId="2" borderId="0" xfId="6" applyFont="1" applyFill="1"/>
    <xf numFmtId="169" fontId="35" fillId="2" borderId="0" xfId="7" applyNumberFormat="1" applyFont="1" applyFill="1" applyBorder="1"/>
    <xf numFmtId="169" fontId="23" fillId="2" borderId="17" xfId="7" applyNumberFormat="1" applyFont="1" applyFill="1" applyBorder="1"/>
    <xf numFmtId="169" fontId="23" fillId="2" borderId="19" xfId="7" applyNumberFormat="1" applyFont="1" applyFill="1" applyBorder="1"/>
    <xf numFmtId="43" fontId="0" fillId="2" borderId="0" xfId="7" applyFont="1" applyFill="1"/>
    <xf numFmtId="169" fontId="23" fillId="2" borderId="0" xfId="7" applyNumberFormat="1" applyFont="1" applyFill="1" applyBorder="1"/>
    <xf numFmtId="0" fontId="22" fillId="3" borderId="16" xfId="6" applyFont="1" applyFill="1" applyBorder="1"/>
    <xf numFmtId="0" fontId="22" fillId="3" borderId="0" xfId="6" applyFont="1" applyFill="1" applyAlignment="1">
      <alignment horizontal="center"/>
    </xf>
    <xf numFmtId="0" fontId="22" fillId="3" borderId="17" xfId="6" applyFont="1" applyFill="1" applyBorder="1" applyAlignment="1">
      <alignment horizontal="center"/>
    </xf>
    <xf numFmtId="0" fontId="22" fillId="3" borderId="13" xfId="6" applyFont="1" applyFill="1" applyBorder="1" applyAlignment="1">
      <alignment horizontal="center"/>
    </xf>
    <xf numFmtId="3" fontId="30" fillId="2" borderId="20" xfId="6" applyNumberFormat="1" applyFont="1" applyFill="1" applyBorder="1" applyAlignment="1">
      <alignment horizontal="center"/>
    </xf>
    <xf numFmtId="3" fontId="34" fillId="10" borderId="28" xfId="6" applyNumberFormat="1" applyFont="1" applyFill="1" applyBorder="1" applyAlignment="1">
      <alignment horizontal="center"/>
    </xf>
    <xf numFmtId="3" fontId="21" fillId="2" borderId="16" xfId="6" applyNumberFormat="1" applyFill="1" applyBorder="1" applyAlignment="1">
      <alignment horizontal="center"/>
    </xf>
    <xf numFmtId="0" fontId="21" fillId="2" borderId="0" xfId="6" applyFill="1" applyAlignment="1">
      <alignment horizontal="center"/>
    </xf>
    <xf numFmtId="3" fontId="30" fillId="2" borderId="0" xfId="6" applyNumberFormat="1" applyFont="1" applyFill="1" applyAlignment="1">
      <alignment horizontal="center"/>
    </xf>
    <xf numFmtId="3" fontId="34" fillId="10" borderId="29" xfId="6" applyNumberFormat="1" applyFont="1" applyFill="1" applyBorder="1" applyAlignment="1">
      <alignment horizontal="center"/>
    </xf>
    <xf numFmtId="0" fontId="30" fillId="2" borderId="18" xfId="6" applyFont="1" applyFill="1" applyBorder="1"/>
    <xf numFmtId="3" fontId="30" fillId="2" borderId="19" xfId="6" applyNumberFormat="1" applyFont="1" applyFill="1" applyBorder="1" applyAlignment="1">
      <alignment horizontal="center"/>
    </xf>
    <xf numFmtId="3" fontId="30" fillId="2" borderId="18" xfId="6" applyNumberFormat="1" applyFont="1" applyFill="1" applyBorder="1" applyAlignment="1">
      <alignment horizontal="center"/>
    </xf>
    <xf numFmtId="0" fontId="36" fillId="2" borderId="0" xfId="6" applyFont="1" applyFill="1"/>
    <xf numFmtId="167" fontId="36" fillId="2" borderId="0" xfId="6" applyNumberFormat="1" applyFont="1" applyFill="1"/>
    <xf numFmtId="0" fontId="37" fillId="2" borderId="0" xfId="6" applyFont="1" applyFill="1"/>
    <xf numFmtId="3" fontId="30" fillId="2" borderId="17" xfId="6" applyNumberFormat="1" applyFont="1" applyFill="1" applyBorder="1" applyAlignment="1">
      <alignment horizontal="center"/>
    </xf>
    <xf numFmtId="9" fontId="30" fillId="2" borderId="0" xfId="8" applyFont="1" applyFill="1"/>
    <xf numFmtId="0" fontId="35" fillId="6" borderId="0" xfId="6" applyFont="1" applyFill="1" applyAlignment="1">
      <alignment vertical="center"/>
    </xf>
    <xf numFmtId="0" fontId="15" fillId="6" borderId="0" xfId="6" applyFont="1" applyFill="1" applyAlignment="1">
      <alignment horizontal="center" vertical="center"/>
    </xf>
    <xf numFmtId="0" fontId="21" fillId="2" borderId="32" xfId="6" applyFill="1" applyBorder="1" applyAlignment="1">
      <alignment vertical="center"/>
    </xf>
    <xf numFmtId="0" fontId="21" fillId="2" borderId="32" xfId="6" applyFill="1" applyBorder="1" applyAlignment="1">
      <alignment horizontal="center" vertical="center"/>
    </xf>
    <xf numFmtId="0" fontId="21" fillId="5" borderId="32" xfId="6" applyFill="1" applyBorder="1" applyAlignment="1">
      <alignment vertical="center"/>
    </xf>
    <xf numFmtId="0" fontId="21" fillId="5" borderId="32" xfId="6" applyFill="1" applyBorder="1" applyAlignment="1">
      <alignment horizontal="center" vertical="center"/>
    </xf>
    <xf numFmtId="0" fontId="15" fillId="0" borderId="32" xfId="6" applyFont="1" applyBorder="1" applyAlignment="1">
      <alignment vertical="center"/>
    </xf>
    <xf numFmtId="0" fontId="15" fillId="2" borderId="32" xfId="6" applyFont="1" applyFill="1" applyBorder="1" applyAlignment="1">
      <alignment horizontal="center" vertical="center"/>
    </xf>
    <xf numFmtId="0" fontId="15" fillId="2" borderId="32" xfId="6" applyFont="1" applyFill="1" applyBorder="1" applyAlignment="1">
      <alignment horizontal="center" vertical="center" wrapText="1"/>
    </xf>
    <xf numFmtId="0" fontId="21" fillId="5" borderId="32" xfId="6" applyFill="1" applyBorder="1" applyAlignment="1">
      <alignment horizontal="center" vertical="center" wrapText="1"/>
    </xf>
    <xf numFmtId="0" fontId="15" fillId="0" borderId="32" xfId="6" applyFont="1" applyBorder="1" applyAlignment="1">
      <alignment horizontal="center" vertical="center" wrapText="1"/>
    </xf>
    <xf numFmtId="3" fontId="34" fillId="2" borderId="0" xfId="6" applyNumberFormat="1" applyFont="1" applyFill="1" applyAlignment="1">
      <alignment horizontal="center"/>
    </xf>
    <xf numFmtId="9" fontId="0" fillId="2" borderId="0" xfId="8" applyFont="1" applyFill="1" applyAlignment="1">
      <alignment horizontal="right"/>
    </xf>
    <xf numFmtId="170" fontId="21" fillId="2" borderId="0" xfId="6" applyNumberFormat="1" applyFill="1"/>
    <xf numFmtId="0" fontId="28" fillId="6" borderId="33" xfId="0" applyFont="1" applyFill="1" applyBorder="1" applyAlignment="1">
      <alignment vertical="center"/>
    </xf>
    <xf numFmtId="0" fontId="15" fillId="6" borderId="3" xfId="0" applyFont="1" applyFill="1" applyBorder="1" applyAlignment="1">
      <alignment horizontal="center" vertical="center"/>
    </xf>
    <xf numFmtId="0" fontId="29" fillId="6" borderId="3" xfId="0" applyFont="1" applyFill="1" applyBorder="1" applyAlignment="1">
      <alignment horizontal="center" vertical="center"/>
    </xf>
    <xf numFmtId="0" fontId="29" fillId="6" borderId="4" xfId="0" applyFont="1" applyFill="1" applyBorder="1" applyAlignment="1">
      <alignment horizontal="center" vertical="center"/>
    </xf>
    <xf numFmtId="0" fontId="0" fillId="0" borderId="0" xfId="0" applyAlignment="1">
      <alignment vertical="center"/>
    </xf>
    <xf numFmtId="0" fontId="29" fillId="0" borderId="34" xfId="0" applyFont="1" applyBorder="1" applyAlignment="1">
      <alignment vertical="center"/>
    </xf>
    <xf numFmtId="0" fontId="0" fillId="2" borderId="3" xfId="0" applyFill="1" applyBorder="1" applyAlignment="1">
      <alignment horizontal="center" vertical="center"/>
    </xf>
    <xf numFmtId="0" fontId="29" fillId="2" borderId="3" xfId="0" applyFont="1" applyFill="1" applyBorder="1" applyAlignment="1">
      <alignment horizontal="center" vertical="center"/>
    </xf>
    <xf numFmtId="0" fontId="29" fillId="2" borderId="3" xfId="0" applyFont="1" applyFill="1" applyBorder="1" applyAlignment="1">
      <alignment horizontal="center" vertical="center" wrapText="1"/>
    </xf>
    <xf numFmtId="0" fontId="29" fillId="5" borderId="34" xfId="0" applyFont="1" applyFill="1" applyBorder="1" applyAlignment="1">
      <alignment vertical="center"/>
    </xf>
    <xf numFmtId="0" fontId="0" fillId="5" borderId="3" xfId="0" applyFill="1" applyBorder="1" applyAlignment="1">
      <alignment horizontal="center" vertical="center"/>
    </xf>
    <xf numFmtId="0" fontId="29" fillId="5" borderId="3" xfId="0" applyFont="1" applyFill="1" applyBorder="1" applyAlignment="1">
      <alignment horizontal="center" vertical="center"/>
    </xf>
    <xf numFmtId="0" fontId="29" fillId="2" borderId="34" xfId="0" applyFont="1" applyFill="1" applyBorder="1" applyAlignment="1">
      <alignment vertical="center"/>
    </xf>
    <xf numFmtId="0" fontId="29" fillId="5" borderId="35" xfId="0" applyFont="1" applyFill="1" applyBorder="1" applyAlignment="1">
      <alignment vertical="center"/>
    </xf>
    <xf numFmtId="0" fontId="0" fillId="5" borderId="36" xfId="0" applyFill="1" applyBorder="1" applyAlignment="1">
      <alignment horizontal="center" vertical="center"/>
    </xf>
    <xf numFmtId="0" fontId="29" fillId="5" borderId="36" xfId="0" applyFont="1" applyFill="1" applyBorder="1" applyAlignment="1">
      <alignment horizontal="center" vertical="center"/>
    </xf>
    <xf numFmtId="0" fontId="30" fillId="2" borderId="0" xfId="6" applyFont="1" applyFill="1" applyAlignment="1">
      <alignment horizontal="center" vertical="center"/>
    </xf>
    <xf numFmtId="0" fontId="43" fillId="2" borderId="37" xfId="9" applyFont="1" applyFill="1" applyBorder="1" applyAlignment="1">
      <alignment horizontal="center" vertical="center"/>
    </xf>
    <xf numFmtId="0" fontId="43" fillId="2" borderId="38" xfId="9" applyFont="1" applyFill="1" applyBorder="1" applyAlignment="1">
      <alignment horizontal="center" vertical="center"/>
    </xf>
    <xf numFmtId="0" fontId="44" fillId="2" borderId="0" xfId="9" applyFont="1" applyFill="1" applyAlignment="1">
      <alignment horizontal="center" vertical="center"/>
    </xf>
    <xf numFmtId="0" fontId="43" fillId="11" borderId="39" xfId="9" applyFont="1" applyFill="1" applyBorder="1" applyAlignment="1">
      <alignment horizontal="center"/>
    </xf>
    <xf numFmtId="0" fontId="45" fillId="12" borderId="37" xfId="6" applyFont="1" applyFill="1" applyBorder="1" applyAlignment="1">
      <alignment horizontal="center" vertical="center"/>
    </xf>
    <xf numFmtId="0" fontId="41" fillId="12" borderId="37" xfId="6" applyFont="1" applyFill="1" applyBorder="1" applyAlignment="1">
      <alignment horizontal="center" vertical="center"/>
    </xf>
    <xf numFmtId="0" fontId="43" fillId="13" borderId="37" xfId="9" applyFont="1" applyFill="1" applyBorder="1" applyAlignment="1">
      <alignment horizontal="center"/>
    </xf>
    <xf numFmtId="0" fontId="46" fillId="14" borderId="37" xfId="9" applyFont="1" applyFill="1" applyBorder="1" applyAlignment="1">
      <alignment horizontal="center"/>
    </xf>
    <xf numFmtId="0" fontId="47" fillId="15" borderId="42" xfId="9" applyFont="1" applyFill="1" applyBorder="1" applyAlignment="1">
      <alignment horizontal="center" vertical="center"/>
    </xf>
    <xf numFmtId="0" fontId="48" fillId="3" borderId="43" xfId="9" applyFont="1" applyFill="1" applyBorder="1" applyAlignment="1">
      <alignment horizontal="center" vertical="center" wrapText="1"/>
    </xf>
    <xf numFmtId="0" fontId="40" fillId="2" borderId="0" xfId="10" applyFill="1"/>
    <xf numFmtId="9" fontId="49" fillId="2" borderId="44" xfId="8" applyFont="1" applyFill="1" applyBorder="1"/>
    <xf numFmtId="0" fontId="49" fillId="2" borderId="44" xfId="10" applyFont="1" applyFill="1" applyBorder="1" applyAlignment="1">
      <alignment horizontal="left"/>
    </xf>
    <xf numFmtId="9" fontId="40" fillId="2" borderId="0" xfId="8" applyFont="1" applyFill="1"/>
    <xf numFmtId="0" fontId="40" fillId="2" borderId="0" xfId="10" applyFill="1" applyAlignment="1">
      <alignment horizontal="left"/>
    </xf>
    <xf numFmtId="6" fontId="40" fillId="2" borderId="0" xfId="10" applyNumberFormat="1" applyFill="1"/>
    <xf numFmtId="38" fontId="40" fillId="2" borderId="0" xfId="10" applyNumberFormat="1" applyFill="1"/>
    <xf numFmtId="6" fontId="49" fillId="16" borderId="0" xfId="10" applyNumberFormat="1" applyFont="1" applyFill="1"/>
    <xf numFmtId="38" fontId="49" fillId="16" borderId="0" xfId="10" applyNumberFormat="1" applyFont="1" applyFill="1"/>
    <xf numFmtId="0" fontId="49" fillId="16" borderId="0" xfId="10" applyFont="1" applyFill="1"/>
    <xf numFmtId="0" fontId="40" fillId="3" borderId="0" xfId="10" applyFill="1"/>
    <xf numFmtId="0" fontId="50" fillId="3" borderId="0" xfId="10" applyFont="1" applyFill="1" applyAlignment="1">
      <alignment horizontal="left"/>
    </xf>
    <xf numFmtId="6" fontId="49" fillId="2" borderId="44" xfId="10" applyNumberFormat="1" applyFont="1" applyFill="1" applyBorder="1"/>
    <xf numFmtId="6" fontId="49" fillId="2" borderId="0" xfId="10" applyNumberFormat="1" applyFont="1" applyFill="1"/>
    <xf numFmtId="38" fontId="49" fillId="2" borderId="0" xfId="10" applyNumberFormat="1" applyFont="1" applyFill="1"/>
    <xf numFmtId="0" fontId="49" fillId="2" borderId="0" xfId="10" applyFont="1" applyFill="1"/>
    <xf numFmtId="0" fontId="50" fillId="17" borderId="0" xfId="10" applyFont="1" applyFill="1" applyAlignment="1">
      <alignment horizontal="left"/>
    </xf>
    <xf numFmtId="6" fontId="40" fillId="2" borderId="0" xfId="10" applyNumberFormat="1" applyFill="1" applyAlignment="1">
      <alignment horizontal="left"/>
    </xf>
    <xf numFmtId="0" fontId="40" fillId="16" borderId="0" xfId="10" applyFill="1"/>
    <xf numFmtId="9" fontId="49" fillId="2" borderId="0" xfId="11" applyFont="1" applyFill="1"/>
    <xf numFmtId="0" fontId="51" fillId="2" borderId="0" xfId="10" applyFont="1" applyFill="1" applyAlignment="1">
      <alignment horizontal="left"/>
    </xf>
    <xf numFmtId="6" fontId="50" fillId="17" borderId="0" xfId="10" applyNumberFormat="1" applyFont="1" applyFill="1" applyAlignment="1">
      <alignment horizontal="right"/>
    </xf>
    <xf numFmtId="0" fontId="49" fillId="2" borderId="0" xfId="10" applyFont="1" applyFill="1" applyAlignment="1">
      <alignment horizontal="left"/>
    </xf>
    <xf numFmtId="0" fontId="40" fillId="2" borderId="0" xfId="10" applyFill="1" applyAlignment="1">
      <alignment horizontal="left" indent="2"/>
    </xf>
    <xf numFmtId="9" fontId="40" fillId="2" borderId="1" xfId="8" applyFont="1" applyFill="1" applyBorder="1"/>
    <xf numFmtId="0" fontId="40" fillId="2" borderId="1" xfId="10" applyFill="1" applyBorder="1" applyAlignment="1">
      <alignment horizontal="left"/>
    </xf>
    <xf numFmtId="0" fontId="52" fillId="2" borderId="0" xfId="10" applyFont="1" applyFill="1"/>
    <xf numFmtId="6" fontId="40" fillId="2" borderId="1" xfId="10" applyNumberFormat="1" applyFill="1" applyBorder="1"/>
    <xf numFmtId="0" fontId="49" fillId="16" borderId="0" xfId="10" applyFont="1" applyFill="1" applyAlignment="1">
      <alignment horizontal="left"/>
    </xf>
    <xf numFmtId="9" fontId="40" fillId="2" borderId="0" xfId="10" applyNumberFormat="1" applyFill="1"/>
    <xf numFmtId="0" fontId="40" fillId="2" borderId="20" xfId="10" applyFill="1" applyBorder="1"/>
    <xf numFmtId="0" fontId="40" fillId="2" borderId="18" xfId="10" applyFill="1" applyBorder="1"/>
    <xf numFmtId="0" fontId="40" fillId="2" borderId="17" xfId="10" applyFill="1" applyBorder="1"/>
    <xf numFmtId="0" fontId="40" fillId="2" borderId="16" xfId="10" applyFill="1" applyBorder="1"/>
    <xf numFmtId="0" fontId="40" fillId="2" borderId="15" xfId="10" applyFill="1" applyBorder="1"/>
    <xf numFmtId="0" fontId="40" fillId="2" borderId="13" xfId="10" applyFill="1" applyBorder="1"/>
    <xf numFmtId="0" fontId="40" fillId="2" borderId="0" xfId="6" applyFont="1" applyFill="1"/>
    <xf numFmtId="9" fontId="53" fillId="2" borderId="0" xfId="8" applyFont="1" applyFill="1"/>
    <xf numFmtId="0" fontId="53" fillId="2" borderId="0" xfId="6" applyFont="1" applyFill="1"/>
    <xf numFmtId="6" fontId="49" fillId="16" borderId="20" xfId="10" applyNumberFormat="1" applyFont="1" applyFill="1" applyBorder="1" applyAlignment="1">
      <alignment horizontal="right"/>
    </xf>
    <xf numFmtId="6" fontId="49" fillId="16" borderId="19" xfId="10" applyNumberFormat="1" applyFont="1" applyFill="1" applyBorder="1" applyAlignment="1">
      <alignment horizontal="right"/>
    </xf>
    <xf numFmtId="0" fontId="49" fillId="16" borderId="18" xfId="10" applyFont="1" applyFill="1" applyBorder="1"/>
    <xf numFmtId="6" fontId="40" fillId="2" borderId="17" xfId="10" applyNumberFormat="1" applyFill="1" applyBorder="1" applyAlignment="1">
      <alignment horizontal="right"/>
    </xf>
    <xf numFmtId="6" fontId="40" fillId="2" borderId="0" xfId="10" applyNumberFormat="1" applyFill="1" applyAlignment="1">
      <alignment horizontal="right"/>
    </xf>
    <xf numFmtId="0" fontId="50" fillId="3" borderId="17" xfId="10" applyFont="1" applyFill="1" applyBorder="1" applyAlignment="1">
      <alignment horizontal="center"/>
    </xf>
    <xf numFmtId="0" fontId="50" fillId="3" borderId="0" xfId="10" applyFont="1" applyFill="1" applyAlignment="1">
      <alignment horizontal="center"/>
    </xf>
    <xf numFmtId="0" fontId="50" fillId="3" borderId="16" xfId="10" applyFont="1" applyFill="1" applyBorder="1" applyAlignment="1">
      <alignment horizontal="left"/>
    </xf>
    <xf numFmtId="171" fontId="40" fillId="2" borderId="17" xfId="10" applyNumberFormat="1" applyFill="1" applyBorder="1" applyAlignment="1">
      <alignment horizontal="right"/>
    </xf>
    <xf numFmtId="171" fontId="40" fillId="2" borderId="0" xfId="10" applyNumberFormat="1" applyFill="1" applyAlignment="1">
      <alignment horizontal="right"/>
    </xf>
    <xf numFmtId="0" fontId="50" fillId="3" borderId="15" xfId="10" applyFont="1" applyFill="1" applyBorder="1" applyAlignment="1">
      <alignment horizontal="center"/>
    </xf>
    <xf numFmtId="0" fontId="50" fillId="3" borderId="14" xfId="10" applyFont="1" applyFill="1" applyBorder="1" applyAlignment="1">
      <alignment horizontal="center"/>
    </xf>
    <xf numFmtId="0" fontId="50" fillId="3" borderId="13" xfId="10" applyFont="1" applyFill="1" applyBorder="1" applyAlignment="1">
      <alignment horizontal="left"/>
    </xf>
    <xf numFmtId="6" fontId="49" fillId="16" borderId="20" xfId="6" applyNumberFormat="1" applyFont="1" applyFill="1" applyBorder="1"/>
    <xf numFmtId="6" fontId="49" fillId="16" borderId="19" xfId="6" applyNumberFormat="1" applyFont="1" applyFill="1" applyBorder="1"/>
    <xf numFmtId="0" fontId="49" fillId="16" borderId="18" xfId="6" applyFont="1" applyFill="1" applyBorder="1"/>
    <xf numFmtId="6" fontId="54" fillId="2" borderId="17" xfId="6" applyNumberFormat="1" applyFont="1" applyFill="1" applyBorder="1"/>
    <xf numFmtId="6" fontId="54" fillId="2" borderId="0" xfId="6" applyNumberFormat="1" applyFont="1" applyFill="1"/>
    <xf numFmtId="0" fontId="40" fillId="2" borderId="16" xfId="6" applyFont="1" applyFill="1" applyBorder="1"/>
    <xf numFmtId="6" fontId="49" fillId="18" borderId="17" xfId="6" applyNumberFormat="1" applyFont="1" applyFill="1" applyBorder="1"/>
    <xf numFmtId="6" fontId="49" fillId="18" borderId="0" xfId="6" applyNumberFormat="1" applyFont="1" applyFill="1"/>
    <xf numFmtId="0" fontId="49" fillId="18" borderId="16" xfId="6" applyFont="1" applyFill="1" applyBorder="1"/>
    <xf numFmtId="6" fontId="40" fillId="2" borderId="17" xfId="6" applyNumberFormat="1" applyFont="1" applyFill="1" applyBorder="1"/>
    <xf numFmtId="6" fontId="40" fillId="2" borderId="0" xfId="6" applyNumberFormat="1" applyFont="1" applyFill="1"/>
    <xf numFmtId="0" fontId="50" fillId="3" borderId="15" xfId="10" applyFont="1" applyFill="1" applyBorder="1" applyAlignment="1">
      <alignment horizontal="right"/>
    </xf>
    <xf numFmtId="0" fontId="50" fillId="3" borderId="14" xfId="10" applyFont="1" applyFill="1" applyBorder="1" applyAlignment="1">
      <alignment horizontal="right"/>
    </xf>
    <xf numFmtId="0" fontId="50" fillId="3" borderId="0" xfId="10" applyFont="1" applyFill="1" applyAlignment="1">
      <alignment horizontal="right"/>
    </xf>
    <xf numFmtId="9" fontId="55" fillId="16" borderId="38" xfId="8" applyFont="1" applyFill="1" applyBorder="1" applyAlignment="1">
      <alignment horizontal="center"/>
    </xf>
    <xf numFmtId="6" fontId="49" fillId="16" borderId="45" xfId="10" applyNumberFormat="1" applyFont="1" applyFill="1" applyBorder="1"/>
    <xf numFmtId="6" fontId="49" fillId="16" borderId="44" xfId="10" applyNumberFormat="1" applyFont="1" applyFill="1" applyBorder="1"/>
    <xf numFmtId="0" fontId="49" fillId="16" borderId="46" xfId="10" applyFont="1" applyFill="1" applyBorder="1" applyAlignment="1">
      <alignment horizontal="left"/>
    </xf>
    <xf numFmtId="166" fontId="53" fillId="2" borderId="0" xfId="8" applyNumberFormat="1" applyFont="1" applyFill="1" applyAlignment="1">
      <alignment horizontal="right"/>
    </xf>
    <xf numFmtId="0" fontId="53" fillId="2" borderId="0" xfId="10" applyFont="1" applyFill="1"/>
    <xf numFmtId="9" fontId="56" fillId="2" borderId="40" xfId="8" applyFont="1" applyFill="1" applyBorder="1" applyAlignment="1">
      <alignment horizontal="center"/>
    </xf>
    <xf numFmtId="6" fontId="40" fillId="2" borderId="17" xfId="10" applyNumberFormat="1" applyFill="1" applyBorder="1"/>
    <xf numFmtId="6" fontId="40" fillId="2" borderId="17" xfId="6" applyNumberFormat="1" applyFont="1" applyFill="1" applyBorder="1" applyAlignment="1">
      <alignment horizontal="right"/>
    </xf>
    <xf numFmtId="6" fontId="40" fillId="2" borderId="0" xfId="6" applyNumberFormat="1" applyFont="1" applyFill="1" applyAlignment="1">
      <alignment horizontal="right"/>
    </xf>
    <xf numFmtId="0" fontId="57" fillId="3" borderId="42" xfId="10" applyFont="1" applyFill="1" applyBorder="1" applyAlignment="1">
      <alignment horizontal="center"/>
    </xf>
    <xf numFmtId="0" fontId="16" fillId="2" borderId="0" xfId="4" applyNumberFormat="1" applyFont="1" applyFill="1" applyBorder="1" applyAlignment="1">
      <alignment horizontal="left" vertical="top" wrapText="1"/>
    </xf>
    <xf numFmtId="0" fontId="1" fillId="2" borderId="0" xfId="2" applyFill="1"/>
    <xf numFmtId="0" fontId="15" fillId="2" borderId="0" xfId="2" applyFont="1" applyFill="1" applyAlignment="1">
      <alignment vertical="top" wrapText="1"/>
    </xf>
    <xf numFmtId="0" fontId="1" fillId="2" borderId="0" xfId="2" applyFill="1" applyAlignment="1">
      <alignment vertical="top" wrapText="1"/>
    </xf>
    <xf numFmtId="0" fontId="17" fillId="2" borderId="0" xfId="4" applyNumberFormat="1" applyFont="1" applyFill="1" applyBorder="1" applyAlignment="1">
      <alignment horizontal="left" vertical="top" wrapText="1"/>
    </xf>
    <xf numFmtId="0" fontId="20" fillId="2" borderId="0" xfId="2" applyFont="1" applyFill="1"/>
    <xf numFmtId="0" fontId="15" fillId="2" borderId="0" xfId="2" applyFont="1" applyFill="1" applyAlignment="1">
      <alignment horizontal="left" vertical="top" wrapText="1"/>
    </xf>
    <xf numFmtId="0" fontId="1" fillId="2" borderId="0" xfId="2" applyFill="1" applyAlignment="1">
      <alignment horizontal="left" vertical="top" wrapText="1"/>
    </xf>
    <xf numFmtId="0" fontId="47" fillId="15" borderId="42" xfId="9" applyFont="1" applyFill="1" applyBorder="1" applyAlignment="1">
      <alignment horizontal="center" vertical="center"/>
    </xf>
    <xf numFmtId="0" fontId="47" fillId="15" borderId="39" xfId="9" applyFont="1" applyFill="1" applyBorder="1" applyAlignment="1">
      <alignment horizontal="center" vertical="center"/>
    </xf>
    <xf numFmtId="0" fontId="43" fillId="11" borderId="41" xfId="9" applyFont="1" applyFill="1" applyBorder="1" applyAlignment="1">
      <alignment horizontal="center" vertical="center"/>
    </xf>
    <xf numFmtId="0" fontId="43" fillId="11" borderId="40" xfId="9" applyFont="1" applyFill="1" applyBorder="1" applyAlignment="1">
      <alignment horizontal="center" vertical="center"/>
    </xf>
    <xf numFmtId="0" fontId="43" fillId="11" borderId="39" xfId="9" applyFont="1" applyFill="1" applyBorder="1" applyAlignment="1">
      <alignment horizontal="center" vertical="center"/>
    </xf>
    <xf numFmtId="0" fontId="43" fillId="13" borderId="41" xfId="9" applyFont="1" applyFill="1" applyBorder="1" applyAlignment="1">
      <alignment horizontal="center" vertical="center" wrapText="1"/>
    </xf>
    <xf numFmtId="0" fontId="43" fillId="13" borderId="39" xfId="9" applyFont="1" applyFill="1" applyBorder="1" applyAlignment="1">
      <alignment horizontal="center" vertical="center" wrapText="1"/>
    </xf>
    <xf numFmtId="0" fontId="22" fillId="3" borderId="14" xfId="6" applyFont="1" applyFill="1" applyBorder="1" applyAlignment="1">
      <alignment horizontal="center"/>
    </xf>
    <xf numFmtId="0" fontId="22" fillId="3" borderId="15" xfId="6" applyFont="1" applyFill="1" applyBorder="1" applyAlignment="1">
      <alignment horizontal="center"/>
    </xf>
  </cellXfs>
  <cellStyles count="12">
    <cellStyle name="Comma 2" xfId="7" xr:uid="{2BF2E38C-FC7D-46C3-926B-68B72641A005}"/>
    <cellStyle name="Comma 3" xfId="5" xr:uid="{94B18DC9-53C3-4C79-9695-FD950C926405}"/>
    <cellStyle name="Hyperlink 3" xfId="3" xr:uid="{58DAC5B4-7283-46BF-BF20-8310185E9215}"/>
    <cellStyle name="Normal" xfId="0" builtinId="0"/>
    <cellStyle name="Normal 2" xfId="6" xr:uid="{D5094062-F167-44EE-AA92-E5224CF4C183}"/>
    <cellStyle name="Normal 2 2" xfId="2" xr:uid="{E200F160-C96D-459F-BB9C-365C3381B0C3}"/>
    <cellStyle name="Normal 2 3" xfId="10" xr:uid="{9FBDBD2B-9E31-4C84-AFCB-C153B7BA22AB}"/>
    <cellStyle name="Normal_MS Tech HW &amp; Comms Equip Comparables" xfId="4" xr:uid="{4062AF2A-573F-490B-8A6D-95E379AD2D9D}"/>
    <cellStyle name="Percent 2" xfId="8" xr:uid="{1EE7BCB1-A2B6-4C6C-BB34-80A470BB9E12}"/>
    <cellStyle name="Percent 3 2" xfId="11" xr:uid="{FAA8890A-F34F-4100-A606-77F5DF65E9E7}"/>
    <cellStyle name="Style 1" xfId="1" xr:uid="{52DE91E6-7BEA-4B90-AD8B-5801A3748150}"/>
    <cellStyle name="一般 6" xfId="9" xr:uid="{3C108090-B908-44CA-B598-BFAD97A6B3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19.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24.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25.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26.xml"/></Relationships>
</file>

<file path=xl/charts/_rels/chart27.xml.rels><?xml version="1.0" encoding="UTF-8" standalone="yes"?>
<Relationships xmlns="http://schemas.openxmlformats.org/package/2006/relationships"><Relationship Id="rId1" Type="http://schemas.openxmlformats.org/officeDocument/2006/relationships/themeOverride" Target="../theme/themeOverride27.xml"/></Relationships>
</file>

<file path=xl/charts/_rels/chart28.xml.rels><?xml version="1.0" encoding="UTF-8" standalone="yes"?>
<Relationships xmlns="http://schemas.openxmlformats.org/package/2006/relationships"><Relationship Id="rId1" Type="http://schemas.openxmlformats.org/officeDocument/2006/relationships/themeOverride" Target="../theme/themeOverrid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a:t>
            </a:r>
            <a:r>
              <a:rPr lang="en-US" sz="900" b="1" baseline="0">
                <a:solidFill>
                  <a:srgbClr val="000000"/>
                </a:solidFill>
              </a:rPr>
              <a:t> HGX/DGX server </a:t>
            </a:r>
            <a:r>
              <a:rPr lang="en-US" sz="900" b="1">
                <a:solidFill>
                  <a:srgbClr val="000000"/>
                </a:solidFill>
              </a:rPr>
              <a:t>supply share,</a:t>
            </a:r>
            <a:r>
              <a:rPr lang="en-US" sz="900" b="1" baseline="0">
                <a:solidFill>
                  <a:srgbClr val="000000"/>
                </a:solidFill>
              </a:rPr>
              <a:t> 2023e</a:t>
            </a:r>
            <a:r>
              <a:rPr lang="en-US" sz="900" b="1">
                <a:solidFill>
                  <a:srgbClr val="000000"/>
                </a:solidFill>
              </a:rPr>
              <a:t> </a:t>
            </a:r>
          </a:p>
        </c:rich>
      </c:tx>
      <c:layout>
        <c:manualLayout>
          <c:xMode val="edge"/>
          <c:yMode val="edge"/>
          <c:x val="0"/>
          <c:y val="0"/>
        </c:manualLayout>
      </c:layout>
      <c:overlay val="0"/>
    </c:title>
    <c:autoTitleDeleted val="0"/>
    <c:plotArea>
      <c:layout/>
      <c:pieChart>
        <c:varyColors val="1"/>
        <c:ser>
          <c:idx val="0"/>
          <c:order val="0"/>
          <c:dPt>
            <c:idx val="0"/>
            <c:bubble3D val="0"/>
            <c:extLst>
              <c:ext xmlns:c16="http://schemas.microsoft.com/office/drawing/2014/chart" uri="{C3380CC4-5D6E-409C-BE32-E72D297353CC}">
                <c16:uniqueId val="{00000000-A621-451F-B564-54FA575FB2E2}"/>
              </c:ext>
            </c:extLst>
          </c:dPt>
          <c:dPt>
            <c:idx val="1"/>
            <c:bubble3D val="0"/>
            <c:spPr>
              <a:solidFill>
                <a:srgbClr val="D0B86A"/>
              </a:solidFill>
            </c:spPr>
            <c:extLst>
              <c:ext xmlns:c16="http://schemas.microsoft.com/office/drawing/2014/chart" uri="{C3380CC4-5D6E-409C-BE32-E72D297353CC}">
                <c16:uniqueId val="{00000002-A621-451F-B564-54FA575FB2E2}"/>
              </c:ext>
            </c:extLst>
          </c:dPt>
          <c:dPt>
            <c:idx val="2"/>
            <c:bubble3D val="0"/>
            <c:spPr>
              <a:solidFill>
                <a:srgbClr val="226B5A"/>
              </a:solidFill>
            </c:spPr>
            <c:extLst>
              <c:ext xmlns:c16="http://schemas.microsoft.com/office/drawing/2014/chart" uri="{C3380CC4-5D6E-409C-BE32-E72D297353CC}">
                <c16:uniqueId val="{00000004-A621-451F-B564-54FA575FB2E2}"/>
              </c:ext>
            </c:extLst>
          </c:dPt>
          <c:dPt>
            <c:idx val="3"/>
            <c:bubble3D val="0"/>
            <c:spPr>
              <a:solidFill>
                <a:srgbClr val="00A1E2"/>
              </a:solidFill>
            </c:spPr>
            <c:extLst>
              <c:ext xmlns:c16="http://schemas.microsoft.com/office/drawing/2014/chart" uri="{C3380CC4-5D6E-409C-BE32-E72D297353CC}">
                <c16:uniqueId val="{00000006-A621-451F-B564-54FA575FB2E2}"/>
              </c:ext>
            </c:extLst>
          </c:dPt>
          <c:dPt>
            <c:idx val="5"/>
            <c:bubble3D val="0"/>
            <c:spPr>
              <a:solidFill>
                <a:srgbClr val="EADFBC"/>
              </a:solidFill>
            </c:spPr>
            <c:extLst>
              <c:ext xmlns:c16="http://schemas.microsoft.com/office/drawing/2014/chart" uri="{C3380CC4-5D6E-409C-BE32-E72D297353CC}">
                <c16:uniqueId val="{00000008-A621-451F-B564-54FA575FB2E2}"/>
              </c:ext>
            </c:extLst>
          </c:dPt>
          <c:dPt>
            <c:idx val="8"/>
            <c:bubble3D val="0"/>
            <c:spPr>
              <a:solidFill>
                <a:srgbClr val="80ADD2"/>
              </a:solidFill>
            </c:spPr>
            <c:extLst>
              <c:ext xmlns:c16="http://schemas.microsoft.com/office/drawing/2014/chart" uri="{C3380CC4-5D6E-409C-BE32-E72D297353CC}">
                <c16:uniqueId val="{0000000A-A621-451F-B564-54FA575FB2E2}"/>
              </c:ext>
            </c:extLst>
          </c:dPt>
          <c:dPt>
            <c:idx val="9"/>
            <c:bubble3D val="0"/>
            <c:spPr>
              <a:solidFill>
                <a:srgbClr val="96C7BC"/>
              </a:solidFill>
            </c:spPr>
            <c:extLst>
              <c:ext xmlns:c16="http://schemas.microsoft.com/office/drawing/2014/chart" uri="{C3380CC4-5D6E-409C-BE32-E72D297353CC}">
                <c16:uniqueId val="{0000000C-A621-451F-B564-54FA575FB2E2}"/>
              </c:ext>
            </c:extLst>
          </c:dPt>
          <c:dPt>
            <c:idx val="10"/>
            <c:bubble3D val="0"/>
            <c:spPr>
              <a:solidFill>
                <a:srgbClr val="8CD5F2"/>
              </a:solidFill>
            </c:spPr>
            <c:extLst>
              <c:ext xmlns:c16="http://schemas.microsoft.com/office/drawing/2014/chart" uri="{C3380CC4-5D6E-409C-BE32-E72D297353CC}">
                <c16:uniqueId val="{0000000E-A621-451F-B564-54FA575FB2E2}"/>
              </c:ext>
            </c:extLst>
          </c:dPt>
          <c:dPt>
            <c:idx val="11"/>
            <c:bubble3D val="0"/>
            <c:spPr>
              <a:solidFill>
                <a:srgbClr val="DDAAB6"/>
              </a:solidFill>
            </c:spPr>
            <c:extLst>
              <c:ext xmlns:c16="http://schemas.microsoft.com/office/drawing/2014/chart" uri="{C3380CC4-5D6E-409C-BE32-E72D297353CC}">
                <c16:uniqueId val="{00000010-A621-451F-B564-54FA575FB2E2}"/>
              </c:ext>
            </c:extLst>
          </c:dPt>
          <c:dPt>
            <c:idx val="12"/>
            <c:bubble3D val="0"/>
            <c:spPr>
              <a:solidFill>
                <a:srgbClr val="7072BB"/>
              </a:solidFill>
            </c:spPr>
            <c:extLst>
              <c:ext xmlns:c16="http://schemas.microsoft.com/office/drawing/2014/chart" uri="{C3380CC4-5D6E-409C-BE32-E72D297353CC}">
                <c16:uniqueId val="{00000012-A621-451F-B564-54FA575FB2E2}"/>
              </c:ext>
            </c:extLst>
          </c:dPt>
          <c:dPt>
            <c:idx val="13"/>
            <c:bubble3D val="0"/>
            <c:spPr>
              <a:solidFill>
                <a:srgbClr val="32A69F"/>
              </a:solidFill>
            </c:spPr>
            <c:extLst>
              <c:ext xmlns:c16="http://schemas.microsoft.com/office/drawing/2014/chart" uri="{C3380CC4-5D6E-409C-BE32-E72D297353CC}">
                <c16:uniqueId val="{00000014-A621-451F-B564-54FA575FB2E2}"/>
              </c:ext>
            </c:extLst>
          </c:dPt>
          <c:dPt>
            <c:idx val="14"/>
            <c:bubble3D val="0"/>
            <c:spPr>
              <a:solidFill>
                <a:srgbClr val="B9BABE"/>
              </a:solidFill>
            </c:spPr>
            <c:extLst>
              <c:ext xmlns:c16="http://schemas.microsoft.com/office/drawing/2014/chart" uri="{C3380CC4-5D6E-409C-BE32-E72D297353CC}">
                <c16:uniqueId val="{00000016-A621-451F-B564-54FA575FB2E2}"/>
              </c:ext>
            </c:extLst>
          </c:dPt>
          <c:dPt>
            <c:idx val="15"/>
            <c:bubble3D val="0"/>
            <c:spPr>
              <a:solidFill>
                <a:srgbClr val="40B9E9"/>
              </a:solidFill>
            </c:spPr>
            <c:extLst>
              <c:ext xmlns:c16="http://schemas.microsoft.com/office/drawing/2014/chart" uri="{C3380CC4-5D6E-409C-BE32-E72D297353CC}">
                <c16:uniqueId val="{00000018-A621-451F-B564-54FA575FB2E2}"/>
              </c:ext>
            </c:extLst>
          </c:dPt>
          <c:dPt>
            <c:idx val="16"/>
            <c:bubble3D val="0"/>
            <c:extLst>
              <c:ext xmlns:c16="http://schemas.microsoft.com/office/drawing/2014/chart" uri="{C3380CC4-5D6E-409C-BE32-E72D297353CC}">
                <c16:uniqueId val="{00000019-A621-451F-B564-54FA575FB2E2}"/>
              </c:ext>
            </c:extLst>
          </c:dPt>
          <c:dPt>
            <c:idx val="17"/>
            <c:bubble3D val="0"/>
            <c:extLst>
              <c:ext xmlns:c16="http://schemas.microsoft.com/office/drawing/2014/chart" uri="{C3380CC4-5D6E-409C-BE32-E72D297353CC}">
                <c16:uniqueId val="{0000001A-A621-451F-B564-54FA575FB2E2}"/>
              </c:ext>
            </c:extLst>
          </c:dPt>
          <c:dLbls>
            <c:dLbl>
              <c:idx val="3"/>
              <c:layout>
                <c:manualLayout>
                  <c:x val="1.9444444444444445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621-451F-B564-54FA575FB2E2}"/>
                </c:ext>
              </c:extLst>
            </c:dLbl>
            <c:dLbl>
              <c:idx val="4"/>
              <c:layout>
                <c:manualLayout>
                  <c:x val="-1.6666666666666666E-2"/>
                  <c:y val="-6.94444444444444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A621-451F-B564-54FA575FB2E2}"/>
                </c:ext>
              </c:extLst>
            </c:dLbl>
            <c:dLbl>
              <c:idx val="6"/>
              <c:layout>
                <c:manualLayout>
                  <c:x val="-1.9444444444444469E-2"/>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C-A621-451F-B564-54FA575FB2E2}"/>
                </c:ext>
              </c:extLst>
            </c:dLbl>
            <c:dLbl>
              <c:idx val="7"/>
              <c:layout>
                <c:manualLayout>
                  <c:x val="-5.5555555555556061E-3"/>
                  <c:y val="2.31481481481481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A621-451F-B564-54FA575FB2E2}"/>
                </c:ext>
              </c:extLst>
            </c:dLbl>
            <c:dLbl>
              <c:idx val="8"/>
              <c:layout>
                <c:manualLayout>
                  <c:x val="3.6111111111111108E-2"/>
                  <c:y val="-5.09259259259259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A621-451F-B564-54FA575FB2E2}"/>
                </c:ext>
              </c:extLst>
            </c:dLbl>
            <c:dLbl>
              <c:idx val="9"/>
              <c:layout>
                <c:manualLayout>
                  <c:x val="1.3888888888888838E-2"/>
                  <c:y val="-2.1218890680033321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A621-451F-B564-54FA575FB2E2}"/>
                </c:ext>
              </c:extLst>
            </c:dLbl>
            <c:spPr>
              <a:noFill/>
              <a:ln>
                <a:no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'ODM share analysis'!$Y$83:$Y$93</c:f>
              <c:strCache>
                <c:ptCount val="11"/>
                <c:pt idx="0">
                  <c:v>Quanta</c:v>
                </c:pt>
                <c:pt idx="1">
                  <c:v>Inventec/ZT Systems</c:v>
                </c:pt>
                <c:pt idx="2">
                  <c:v>FII/HH</c:v>
                </c:pt>
                <c:pt idx="3">
                  <c:v>Wiwynn</c:v>
                </c:pt>
                <c:pt idx="4">
                  <c:v>Wistron</c:v>
                </c:pt>
                <c:pt idx="5">
                  <c:v>Super Micro</c:v>
                </c:pt>
                <c:pt idx="6">
                  <c:v>Dell</c:v>
                </c:pt>
                <c:pt idx="7">
                  <c:v>HPE</c:v>
                </c:pt>
                <c:pt idx="8">
                  <c:v>Giga-Byte</c:v>
                </c:pt>
                <c:pt idx="9">
                  <c:v>Inspur</c:v>
                </c:pt>
                <c:pt idx="10">
                  <c:v>Others</c:v>
                </c:pt>
              </c:strCache>
            </c:strRef>
          </c:cat>
          <c:val>
            <c:numRef>
              <c:f>'ODM share analysis'!$Z$83:$Z$93</c:f>
              <c:numCache>
                <c:formatCode>0%</c:formatCode>
                <c:ptCount val="11"/>
                <c:pt idx="0">
                  <c:v>8.4507725241914772E-2</c:v>
                </c:pt>
                <c:pt idx="1">
                  <c:v>0.20334671386335743</c:v>
                </c:pt>
                <c:pt idx="2">
                  <c:v>0.24295971007050499</c:v>
                </c:pt>
                <c:pt idx="3">
                  <c:v>7.9225992414295107E-3</c:v>
                </c:pt>
                <c:pt idx="4">
                  <c:v>1.5845198482859021E-2</c:v>
                </c:pt>
                <c:pt idx="5">
                  <c:v>0.13679688023534953</c:v>
                </c:pt>
                <c:pt idx="6">
                  <c:v>2.6408664138098368E-2</c:v>
                </c:pt>
                <c:pt idx="7">
                  <c:v>5.2817328276196732E-3</c:v>
                </c:pt>
                <c:pt idx="8">
                  <c:v>2.6408664138098368E-2</c:v>
                </c:pt>
                <c:pt idx="9">
                  <c:v>0.12676158786287217</c:v>
                </c:pt>
                <c:pt idx="10">
                  <c:v>0.12376052389789605</c:v>
                </c:pt>
              </c:numCache>
            </c:numRef>
          </c:val>
          <c:extLst>
            <c:ext xmlns:c16="http://schemas.microsoft.com/office/drawing/2014/chart" uri="{C3380CC4-5D6E-409C-BE32-E72D297353CC}">
              <c16:uniqueId val="{0000001E-A621-451F-B564-54FA575FB2E2}"/>
            </c:ext>
          </c:extLst>
        </c:ser>
        <c:dLbls>
          <c:showLegendKey val="0"/>
          <c:showVal val="0"/>
          <c:showCatName val="0"/>
          <c:showSerName val="0"/>
          <c:showPercent val="0"/>
          <c:showBubbleSize val="0"/>
          <c:showLeaderLines val="0"/>
        </c:dLbls>
        <c:firstSliceAng val="0"/>
      </c:pieChart>
      <c:spPr>
        <a:noFill/>
        <a:extLst>
          <a:ext uri="{909E8E84-426E-40DD-AFC4-6F175D3DCCD1}">
            <a14:hiddenFill xmlns:a14="http://schemas.microsoft.com/office/drawing/2010/main">
              <a:noFill/>
            </a14:hiddenFill>
          </a:ext>
        </a:extLst>
      </c:spPr>
    </c:plotArea>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HGX</a:t>
            </a:r>
            <a:r>
              <a:rPr lang="en-US" sz="900" b="1" baseline="0">
                <a:solidFill>
                  <a:srgbClr val="000000"/>
                </a:solidFill>
              </a:rPr>
              <a:t>/DGX server unit assumptions, 2023-26E</a:t>
            </a:r>
            <a:endParaRPr lang="en-US" sz="900" b="1">
              <a:solidFill>
                <a:srgbClr val="000000"/>
              </a:solidFill>
            </a:endParaRPr>
          </a:p>
        </c:rich>
      </c:tx>
      <c:layout>
        <c:manualLayout>
          <c:xMode val="edge"/>
          <c:yMode val="edge"/>
          <c:x val="2.6111111111111109E-3"/>
          <c:y val="0"/>
        </c:manualLayout>
      </c:layout>
      <c:overlay val="0"/>
    </c:title>
    <c:autoTitleDeleted val="0"/>
    <c:plotArea>
      <c:layout>
        <c:manualLayout>
          <c:layoutTarget val="inner"/>
          <c:xMode val="edge"/>
          <c:yMode val="edge"/>
          <c:x val="6.6000656167978997E-2"/>
          <c:y val="0.1616852580927384"/>
          <c:w val="0.92545231846019249"/>
          <c:h val="0.75924978127734033"/>
        </c:manualLayout>
      </c:layout>
      <c:barChart>
        <c:barDir val="col"/>
        <c:grouping val="stacked"/>
        <c:varyColors val="0"/>
        <c:ser>
          <c:idx val="0"/>
          <c:order val="0"/>
          <c:tx>
            <c:strRef>
              <c:f>'ODM share analysis'!$B$12</c:f>
              <c:strCache>
                <c:ptCount val="1"/>
                <c:pt idx="0">
                  <c:v>HGX</c:v>
                </c:pt>
              </c:strCache>
            </c:strRef>
          </c:tx>
          <c:invertIfNegative val="0"/>
          <c:cat>
            <c:numRef>
              <c:f>'ODM share analysis'!$C$10:$G$10</c:f>
              <c:numCache>
                <c:formatCode>General</c:formatCode>
                <c:ptCount val="4"/>
                <c:pt idx="0">
                  <c:v>2023</c:v>
                </c:pt>
                <c:pt idx="1">
                  <c:v>2024</c:v>
                </c:pt>
                <c:pt idx="2">
                  <c:v>2025</c:v>
                </c:pt>
                <c:pt idx="3">
                  <c:v>2026</c:v>
                </c:pt>
              </c:numCache>
            </c:numRef>
          </c:cat>
          <c:val>
            <c:numRef>
              <c:f>'ODM share analysis'!$C$12:$G$12</c:f>
              <c:numCache>
                <c:formatCode>#,##0</c:formatCode>
                <c:ptCount val="4"/>
                <c:pt idx="0">
                  <c:v>186.33180314814814</c:v>
                </c:pt>
                <c:pt idx="1">
                  <c:v>512.72500000000002</c:v>
                </c:pt>
                <c:pt idx="2">
                  <c:v>154.11250000000001</c:v>
                </c:pt>
                <c:pt idx="3">
                  <c:v>96.825000000000003</c:v>
                </c:pt>
              </c:numCache>
            </c:numRef>
          </c:val>
          <c:extLst>
            <c:ext xmlns:c16="http://schemas.microsoft.com/office/drawing/2014/chart" uri="{C3380CC4-5D6E-409C-BE32-E72D297353CC}">
              <c16:uniqueId val="{00000000-71D1-4EC4-A95F-F2BDF5633CDC}"/>
            </c:ext>
          </c:extLst>
        </c:ser>
        <c:ser>
          <c:idx val="1"/>
          <c:order val="1"/>
          <c:tx>
            <c:strRef>
              <c:f>'ODM share analysis'!$B$18</c:f>
              <c:strCache>
                <c:ptCount val="1"/>
                <c:pt idx="0">
                  <c:v>DGX</c:v>
                </c:pt>
              </c:strCache>
            </c:strRef>
          </c:tx>
          <c:spPr>
            <a:solidFill>
              <a:srgbClr val="EACC80"/>
            </a:solidFill>
            <a:ln>
              <a:noFill/>
            </a:ln>
          </c:spPr>
          <c:invertIfNegative val="0"/>
          <c:dLbls>
            <c:dLbl>
              <c:idx val="0"/>
              <c:tx>
                <c:rich>
                  <a:bodyPr/>
                  <a:lstStyle/>
                  <a:p>
                    <a:fld id="{D4FAA0CE-51F7-4E56-B6FA-27DC9EDC097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1D1-4EC4-A95F-F2BDF5633CDC}"/>
                </c:ext>
              </c:extLst>
            </c:dLbl>
            <c:dLbl>
              <c:idx val="1"/>
              <c:layout>
                <c:manualLayout>
                  <c:x val="0"/>
                  <c:y val="-6.2161708953047554E-2"/>
                </c:manualLayout>
              </c:layout>
              <c:tx>
                <c:rich>
                  <a:bodyPr/>
                  <a:lstStyle/>
                  <a:p>
                    <a:fld id="{0EA33BF8-DBE8-4073-BA4B-448182A6047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1D1-4EC4-A95F-F2BDF5633CDC}"/>
                </c:ext>
              </c:extLst>
            </c:dLbl>
            <c:dLbl>
              <c:idx val="2"/>
              <c:layout>
                <c:manualLayout>
                  <c:x val="-1.0185067526415994E-16"/>
                  <c:y val="-5.7770487022455547E-2"/>
                </c:manualLayout>
              </c:layout>
              <c:tx>
                <c:rich>
                  <a:bodyPr/>
                  <a:lstStyle/>
                  <a:p>
                    <a:fld id="{4F7FD96C-ACFC-410A-9EBF-C5C663D30F7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1D1-4EC4-A95F-F2BDF5633CDC}"/>
                </c:ext>
              </c:extLst>
            </c:dLbl>
            <c:dLbl>
              <c:idx val="3"/>
              <c:layout>
                <c:manualLayout>
                  <c:x val="0"/>
                  <c:y val="-6.1442111402741369E-2"/>
                </c:manualLayout>
              </c:layout>
              <c:tx>
                <c:rich>
                  <a:bodyPr/>
                  <a:lstStyle/>
                  <a:p>
                    <a:fld id="{09E4D62B-140E-4C55-B481-E6CB16BEAFD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1D1-4EC4-A95F-F2BDF5633CDC}"/>
                </c:ext>
              </c:extLst>
            </c:dLbl>
            <c:spPr>
              <a:noFill/>
              <a:ln>
                <a:noFill/>
              </a:ln>
              <a:effectLst/>
            </c:sp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numRef>
              <c:f>'ODM share analysis'!$C$10:$G$10</c:f>
              <c:numCache>
                <c:formatCode>General</c:formatCode>
                <c:ptCount val="4"/>
                <c:pt idx="0">
                  <c:v>2023</c:v>
                </c:pt>
                <c:pt idx="1">
                  <c:v>2024</c:v>
                </c:pt>
                <c:pt idx="2">
                  <c:v>2025</c:v>
                </c:pt>
                <c:pt idx="3">
                  <c:v>2026</c:v>
                </c:pt>
              </c:numCache>
            </c:numRef>
          </c:cat>
          <c:val>
            <c:numRef>
              <c:f>'ODM share analysis'!$C$18:$G$18</c:f>
              <c:numCache>
                <c:formatCode>#,##0</c:formatCode>
                <c:ptCount val="4"/>
                <c:pt idx="0">
                  <c:v>3</c:v>
                </c:pt>
                <c:pt idx="1">
                  <c:v>13</c:v>
                </c:pt>
                <c:pt idx="2">
                  <c:v>7</c:v>
                </c:pt>
                <c:pt idx="3">
                  <c:v>1</c:v>
                </c:pt>
              </c:numCache>
            </c:numRef>
          </c:val>
          <c:extLst>
            <c:ext xmlns:c15="http://schemas.microsoft.com/office/drawing/2012/chart" uri="{02D57815-91ED-43cb-92C2-25804820EDAC}">
              <c15:datalabelsRange>
                <c15:f>'ODM share analysis'!$D$11:$G$11</c15:f>
                <c15:dlblRangeCache>
                  <c:ptCount val="4"/>
                  <c:pt idx="0">
                    <c:v>189</c:v>
                  </c:pt>
                  <c:pt idx="1">
                    <c:v>526</c:v>
                  </c:pt>
                  <c:pt idx="2">
                    <c:v>161</c:v>
                  </c:pt>
                  <c:pt idx="3">
                    <c:v>98</c:v>
                  </c:pt>
                </c15:dlblRangeCache>
              </c15:datalabelsRange>
            </c:ext>
            <c:ext xmlns:c16="http://schemas.microsoft.com/office/drawing/2014/chart" uri="{C3380CC4-5D6E-409C-BE32-E72D297353CC}">
              <c16:uniqueId val="{00000005-71D1-4EC4-A95F-F2BDF5633CDC}"/>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scaling>
        <c:delete val="0"/>
        <c:axPos val="l"/>
        <c:majorGridlines>
          <c:spPr>
            <a:ln w="6350" cap="rnd" cmpd="sng" algn="ctr">
              <a:solidFill>
                <a:srgbClr val="C0C0C0"/>
              </a:solidFill>
              <a:prstDash val="solid"/>
              <a:round/>
              <a:headEnd type="none" w="med" len="med"/>
              <a:tailEnd type="none" w="med" len="med"/>
            </a:ln>
          </c:spPr>
        </c:majorGridlines>
        <c:numFmt formatCode="#,##0" sourceLinked="0"/>
        <c:majorTickMark val="out"/>
        <c:minorTickMark val="none"/>
        <c:tickLblPos val="nextTo"/>
        <c:spPr>
          <a:ln>
            <a:noFill/>
          </a:ln>
        </c:spPr>
        <c:crossAx val="96755072"/>
        <c:crosses val="autoZero"/>
        <c:crossBetween val="between"/>
      </c:valAx>
      <c:spPr>
        <a:noFill/>
        <a:extLst>
          <a:ext uri="{909E8E84-426E-40DD-AFC4-6F175D3DCCD1}">
            <a14:hiddenFill xmlns:a14="http://schemas.microsoft.com/office/drawing/2010/main">
              <a:solidFill>
                <a:srgbClr val="FFFFFF"/>
              </a:solidFill>
            </a14:hiddenFill>
          </a:ext>
        </a:extLst>
      </c:spPr>
    </c:plotArea>
    <c:legend>
      <c:legendPos val="t"/>
      <c:layout>
        <c:manualLayout>
          <c:xMode val="edge"/>
          <c:yMode val="edge"/>
          <c:x val="0.8471135170603673"/>
          <c:y val="7.3148148148148143E-2"/>
          <c:w val="0.15021719160104988"/>
          <c:h val="7.1777486147564892E-2"/>
        </c:manualLayout>
      </c:layout>
      <c:overlay val="0"/>
      <c:spPr>
        <a:solidFill>
          <a:srgbClr val="FFFFFF"/>
        </a:solidFill>
      </c:spPr>
    </c:legend>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HGX/DGX</a:t>
            </a:r>
            <a:r>
              <a:rPr lang="en-US" sz="900" b="1" baseline="0">
                <a:solidFill>
                  <a:srgbClr val="000000"/>
                </a:solidFill>
              </a:rPr>
              <a:t> server supply share, 2024e</a:t>
            </a:r>
            <a:endParaRPr lang="en-US" sz="900" b="1">
              <a:solidFill>
                <a:srgbClr val="000000"/>
              </a:solidFill>
            </a:endParaRPr>
          </a:p>
        </c:rich>
      </c:tx>
      <c:layout>
        <c:manualLayout>
          <c:xMode val="edge"/>
          <c:yMode val="edge"/>
          <c:x val="0"/>
          <c:y val="0"/>
        </c:manualLayout>
      </c:layout>
      <c:overlay val="0"/>
    </c:title>
    <c:autoTitleDeleted val="0"/>
    <c:plotArea>
      <c:layout>
        <c:manualLayout>
          <c:layoutTarget val="inner"/>
          <c:xMode val="edge"/>
          <c:yMode val="edge"/>
          <c:x val="0.27822900262467193"/>
          <c:y val="0.15306685622630503"/>
          <c:w val="0.41576421697287841"/>
          <c:h val="0.692940361621464"/>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6A6B-427B-9DB8-0B6B8D755F6D}"/>
              </c:ext>
            </c:extLst>
          </c:dPt>
          <c:dPt>
            <c:idx val="1"/>
            <c:bubble3D val="0"/>
            <c:spPr>
              <a:solidFill>
                <a:srgbClr val="D0B86A"/>
              </a:solidFill>
            </c:spPr>
            <c:extLst>
              <c:ext xmlns:c16="http://schemas.microsoft.com/office/drawing/2014/chart" uri="{C3380CC4-5D6E-409C-BE32-E72D297353CC}">
                <c16:uniqueId val="{00000002-6A6B-427B-9DB8-0B6B8D755F6D}"/>
              </c:ext>
            </c:extLst>
          </c:dPt>
          <c:dPt>
            <c:idx val="2"/>
            <c:bubble3D val="0"/>
            <c:spPr>
              <a:solidFill>
                <a:srgbClr val="226B5A"/>
              </a:solidFill>
            </c:spPr>
            <c:extLst>
              <c:ext xmlns:c16="http://schemas.microsoft.com/office/drawing/2014/chart" uri="{C3380CC4-5D6E-409C-BE32-E72D297353CC}">
                <c16:uniqueId val="{00000004-6A6B-427B-9DB8-0B6B8D755F6D}"/>
              </c:ext>
            </c:extLst>
          </c:dPt>
          <c:dPt>
            <c:idx val="3"/>
            <c:bubble3D val="0"/>
            <c:spPr>
              <a:solidFill>
                <a:srgbClr val="00A1E2"/>
              </a:solidFill>
            </c:spPr>
            <c:extLst>
              <c:ext xmlns:c16="http://schemas.microsoft.com/office/drawing/2014/chart" uri="{C3380CC4-5D6E-409C-BE32-E72D297353CC}">
                <c16:uniqueId val="{00000006-6A6B-427B-9DB8-0B6B8D755F6D}"/>
              </c:ext>
            </c:extLst>
          </c:dPt>
          <c:dPt>
            <c:idx val="4"/>
            <c:bubble3D val="0"/>
            <c:spPr>
              <a:solidFill>
                <a:srgbClr val="EADFBC"/>
              </a:solidFill>
            </c:spPr>
            <c:extLst>
              <c:ext xmlns:c16="http://schemas.microsoft.com/office/drawing/2014/chart" uri="{C3380CC4-5D6E-409C-BE32-E72D297353CC}">
                <c16:uniqueId val="{00000008-6A6B-427B-9DB8-0B6B8D755F6D}"/>
              </c:ext>
            </c:extLst>
          </c:dPt>
          <c:dPt>
            <c:idx val="5"/>
            <c:bubble3D val="0"/>
            <c:spPr>
              <a:solidFill>
                <a:srgbClr val="80ADD2"/>
              </a:solidFill>
            </c:spPr>
            <c:extLst>
              <c:ext xmlns:c16="http://schemas.microsoft.com/office/drawing/2014/chart" uri="{C3380CC4-5D6E-409C-BE32-E72D297353CC}">
                <c16:uniqueId val="{0000000A-6A6B-427B-9DB8-0B6B8D755F6D}"/>
              </c:ext>
            </c:extLst>
          </c:dPt>
          <c:dPt>
            <c:idx val="8"/>
            <c:bubble3D val="0"/>
            <c:spPr>
              <a:solidFill>
                <a:srgbClr val="96C7BC"/>
              </a:solidFill>
            </c:spPr>
            <c:extLst>
              <c:ext xmlns:c16="http://schemas.microsoft.com/office/drawing/2014/chart" uri="{C3380CC4-5D6E-409C-BE32-E72D297353CC}">
                <c16:uniqueId val="{0000000C-6A6B-427B-9DB8-0B6B8D755F6D}"/>
              </c:ext>
            </c:extLst>
          </c:dPt>
          <c:dPt>
            <c:idx val="9"/>
            <c:bubble3D val="0"/>
            <c:spPr>
              <a:solidFill>
                <a:srgbClr val="8CD5F2"/>
              </a:solidFill>
            </c:spPr>
            <c:extLst>
              <c:ext xmlns:c16="http://schemas.microsoft.com/office/drawing/2014/chart" uri="{C3380CC4-5D6E-409C-BE32-E72D297353CC}">
                <c16:uniqueId val="{0000000E-6A6B-427B-9DB8-0B6B8D755F6D}"/>
              </c:ext>
            </c:extLst>
          </c:dPt>
          <c:dPt>
            <c:idx val="10"/>
            <c:bubble3D val="0"/>
            <c:spPr>
              <a:solidFill>
                <a:srgbClr val="93959B"/>
              </a:solidFill>
            </c:spPr>
            <c:extLst>
              <c:ext xmlns:c16="http://schemas.microsoft.com/office/drawing/2014/chart" uri="{C3380CC4-5D6E-409C-BE32-E72D297353CC}">
                <c16:uniqueId val="{00000010-6A6B-427B-9DB8-0B6B8D755F6D}"/>
              </c:ext>
            </c:extLst>
          </c:dPt>
          <c:dPt>
            <c:idx val="13"/>
            <c:bubble3D val="0"/>
            <c:spPr>
              <a:solidFill>
                <a:srgbClr val="2673B2"/>
              </a:solidFill>
            </c:spPr>
            <c:extLst>
              <c:ext xmlns:c16="http://schemas.microsoft.com/office/drawing/2014/chart" uri="{C3380CC4-5D6E-409C-BE32-E72D297353CC}">
                <c16:uniqueId val="{00000012-6A6B-427B-9DB8-0B6B8D755F6D}"/>
              </c:ext>
            </c:extLst>
          </c:dPt>
          <c:dPt>
            <c:idx val="14"/>
            <c:bubble3D val="0"/>
            <c:spPr>
              <a:solidFill>
                <a:srgbClr val="B9BABE"/>
              </a:solidFill>
            </c:spPr>
            <c:extLst>
              <c:ext xmlns:c16="http://schemas.microsoft.com/office/drawing/2014/chart" uri="{C3380CC4-5D6E-409C-BE32-E72D297353CC}">
                <c16:uniqueId val="{00000014-6A6B-427B-9DB8-0B6B8D755F6D}"/>
              </c:ext>
            </c:extLst>
          </c:dPt>
          <c:dPt>
            <c:idx val="15"/>
            <c:bubble3D val="0"/>
            <c:spPr>
              <a:solidFill>
                <a:srgbClr val="40B9E9"/>
              </a:solidFill>
            </c:spPr>
            <c:extLst>
              <c:ext xmlns:c16="http://schemas.microsoft.com/office/drawing/2014/chart" uri="{C3380CC4-5D6E-409C-BE32-E72D297353CC}">
                <c16:uniqueId val="{00000016-6A6B-427B-9DB8-0B6B8D755F6D}"/>
              </c:ext>
            </c:extLst>
          </c:dPt>
          <c:dPt>
            <c:idx val="16"/>
            <c:bubble3D val="0"/>
            <c:extLst>
              <c:ext xmlns:c16="http://schemas.microsoft.com/office/drawing/2014/chart" uri="{C3380CC4-5D6E-409C-BE32-E72D297353CC}">
                <c16:uniqueId val="{00000017-6A6B-427B-9DB8-0B6B8D755F6D}"/>
              </c:ext>
            </c:extLst>
          </c:dPt>
          <c:dPt>
            <c:idx val="17"/>
            <c:bubble3D val="0"/>
            <c:extLst>
              <c:ext xmlns:c16="http://schemas.microsoft.com/office/drawing/2014/chart" uri="{C3380CC4-5D6E-409C-BE32-E72D297353CC}">
                <c16:uniqueId val="{00000018-6A6B-427B-9DB8-0B6B8D755F6D}"/>
              </c:ext>
            </c:extLst>
          </c:dPt>
          <c:dLbls>
            <c:dLbl>
              <c:idx val="0"/>
              <c:layout>
                <c:manualLayout>
                  <c:x val="-8.3333333333333332E-3"/>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A6B-427B-9DB8-0B6B8D755F6D}"/>
                </c:ext>
              </c:extLst>
            </c:dLbl>
            <c:dLbl>
              <c:idx val="1"/>
              <c:layout>
                <c:manualLayout>
                  <c:x val="-1.6666666666666666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A6B-427B-9DB8-0B6B8D755F6D}"/>
                </c:ext>
              </c:extLst>
            </c:dLbl>
            <c:dLbl>
              <c:idx val="2"/>
              <c:layout>
                <c:manualLayout>
                  <c:x val="-1.0185067526415994E-16"/>
                  <c:y val="-1.38888888888889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A6B-427B-9DB8-0B6B8D755F6D}"/>
                </c:ext>
              </c:extLst>
            </c:dLbl>
            <c:dLbl>
              <c:idx val="3"/>
              <c:layout>
                <c:manualLayout>
                  <c:x val="3.888888888888889E-2"/>
                  <c:y val="-5.09259259259260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A6B-427B-9DB8-0B6B8D755F6D}"/>
                </c:ext>
              </c:extLst>
            </c:dLbl>
            <c:dLbl>
              <c:idx val="7"/>
              <c:layout>
                <c:manualLayout>
                  <c:x val="0"/>
                  <c:y val="-2.31481481481482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6A6B-427B-9DB8-0B6B8D755F6D}"/>
                </c:ext>
              </c:extLst>
            </c:dLbl>
            <c:dLbl>
              <c:idx val="8"/>
              <c:layout>
                <c:manualLayout>
                  <c:x val="-8.3333333333333332E-3"/>
                  <c:y val="-6.48148148148148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6A6B-427B-9DB8-0B6B8D755F6D}"/>
                </c:ext>
              </c:extLst>
            </c:dLbl>
            <c:dLbl>
              <c:idx val="9"/>
              <c:layout>
                <c:manualLayout>
                  <c:x val="1.944444444444442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6A6B-427B-9DB8-0B6B8D755F6D}"/>
                </c:ext>
              </c:extLst>
            </c:dLbl>
            <c:dLbl>
              <c:idx val="10"/>
              <c:layout>
                <c:manualLayout>
                  <c:x val="2.7777777777777779E-3"/>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6A6B-427B-9DB8-0B6B8D755F6D}"/>
                </c:ext>
              </c:extLst>
            </c:dLbl>
            <c:dLbl>
              <c:idx val="11"/>
              <c:layout>
                <c:manualLayout>
                  <c:x val="0.10833333333333334"/>
                  <c:y val="-7.407407407407407E-2"/>
                </c:manualLayout>
              </c:layout>
              <c:spPr>
                <a:noFill/>
                <a:ln>
                  <a:noFill/>
                </a:ln>
                <a:effectLst/>
              </c:spPr>
              <c:txPr>
                <a:bodyPr wrap="square" lIns="38100" tIns="19050" rIns="38100" bIns="19050" anchor="ctr">
                  <a:spAutoFit/>
                </a:bodyPr>
                <a:lstStyle/>
                <a:p>
                  <a:pPr>
                    <a:defRPr>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A-6A6B-427B-9DB8-0B6B8D755F6D}"/>
                </c:ext>
              </c:extLst>
            </c:dLbl>
            <c:dLbl>
              <c:idx val="12"/>
              <c:layout>
                <c:manualLayout>
                  <c:x val="5.5555555555555297E-3"/>
                  <c:y val="-2.31481481481482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6A6B-427B-9DB8-0B6B8D755F6D}"/>
                </c:ext>
              </c:extLst>
            </c:dLbl>
            <c:dLbl>
              <c:idx val="13"/>
              <c:layout>
                <c:manualLayout>
                  <c:x val="1.3888888888888888E-2"/>
                  <c:y val="1.85185185185185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6A6B-427B-9DB8-0B6B8D755F6D}"/>
                </c:ext>
              </c:extLst>
            </c:dLbl>
            <c:spPr>
              <a:noFill/>
              <a:ln>
                <a:no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'ODM share analysis'!$Y$124:$Y$137</c:f>
              <c:strCache>
                <c:ptCount val="14"/>
                <c:pt idx="0">
                  <c:v>Quanta</c:v>
                </c:pt>
                <c:pt idx="1">
                  <c:v>Inventec/ZT Systems</c:v>
                </c:pt>
                <c:pt idx="2">
                  <c:v>FII/HH</c:v>
                </c:pt>
                <c:pt idx="3">
                  <c:v>Wiwynn</c:v>
                </c:pt>
                <c:pt idx="4">
                  <c:v>Wistron</c:v>
                </c:pt>
                <c:pt idx="5">
                  <c:v>Super Micro</c:v>
                </c:pt>
                <c:pt idx="6">
                  <c:v>Dell</c:v>
                </c:pt>
                <c:pt idx="7">
                  <c:v>HPE</c:v>
                </c:pt>
                <c:pt idx="8">
                  <c:v>Giga-Byte</c:v>
                </c:pt>
                <c:pt idx="9">
                  <c:v>Inspur</c:v>
                </c:pt>
                <c:pt idx="10">
                  <c:v>Asustek</c:v>
                </c:pt>
                <c:pt idx="11">
                  <c:v>Lenovo</c:v>
                </c:pt>
                <c:pt idx="12">
                  <c:v>NationGate</c:v>
                </c:pt>
                <c:pt idx="13">
                  <c:v>Others</c:v>
                </c:pt>
              </c:strCache>
            </c:strRef>
          </c:cat>
          <c:val>
            <c:numRef>
              <c:f>'ODM share analysis'!$Z$124:$Z$137</c:f>
              <c:numCache>
                <c:formatCode>0%</c:formatCode>
                <c:ptCount val="14"/>
                <c:pt idx="0">
                  <c:v>0.13124732512244994</c:v>
                </c:pt>
                <c:pt idx="1">
                  <c:v>8.9400351895002131E-2</c:v>
                </c:pt>
                <c:pt idx="2">
                  <c:v>0.16738789290979122</c:v>
                </c:pt>
                <c:pt idx="3">
                  <c:v>1.9021351467021731E-3</c:v>
                </c:pt>
                <c:pt idx="4">
                  <c:v>2.4727756907128251E-2</c:v>
                </c:pt>
                <c:pt idx="5">
                  <c:v>0.1109895858100718</c:v>
                </c:pt>
                <c:pt idx="6">
                  <c:v>6.0868324694469539E-2</c:v>
                </c:pt>
                <c:pt idx="7">
                  <c:v>1.9021351467021733E-2</c:v>
                </c:pt>
                <c:pt idx="8">
                  <c:v>3.4809073184649771E-2</c:v>
                </c:pt>
                <c:pt idx="9">
                  <c:v>9.7008892481810827E-2</c:v>
                </c:pt>
                <c:pt idx="10">
                  <c:v>8.5596081601597793E-3</c:v>
                </c:pt>
                <c:pt idx="11">
                  <c:v>3.8042702934043462E-3</c:v>
                </c:pt>
                <c:pt idx="12">
                  <c:v>6.6574730134576062E-3</c:v>
                </c:pt>
                <c:pt idx="13">
                  <c:v>0.24361595891388091</c:v>
                </c:pt>
              </c:numCache>
            </c:numRef>
          </c:val>
          <c:extLst>
            <c:ext xmlns:c16="http://schemas.microsoft.com/office/drawing/2014/chart" uri="{C3380CC4-5D6E-409C-BE32-E72D297353CC}">
              <c16:uniqueId val="{0000001C-6A6B-427B-9DB8-0B6B8D755F6D}"/>
            </c:ext>
          </c:extLst>
        </c:ser>
        <c:dLbls>
          <c:showLegendKey val="0"/>
          <c:showVal val="0"/>
          <c:showCatName val="0"/>
          <c:showSerName val="0"/>
          <c:showPercent val="0"/>
          <c:showBubbleSize val="0"/>
          <c:showLeaderLines val="0"/>
        </c:dLbls>
        <c:firstSliceAng val="0"/>
      </c:pieChart>
      <c:spPr>
        <a:noFill/>
        <a:extLst>
          <a:ext uri="{909E8E84-426E-40DD-AFC4-6F175D3DCCD1}">
            <a14:hiddenFill xmlns:a14="http://schemas.microsoft.com/office/drawing/2010/main">
              <a:noFill/>
            </a14:hiddenFill>
          </a:ext>
        </a:extLst>
      </c:spPr>
    </c:plotArea>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HGX/DGX server demand share, 2023e</a:t>
            </a:r>
          </a:p>
        </c:rich>
      </c:tx>
      <c:layout>
        <c:manualLayout>
          <c:xMode val="edge"/>
          <c:yMode val="edge"/>
          <c:x val="2.6111111111111049E-3"/>
          <c:y val="0"/>
        </c:manualLayout>
      </c:layout>
      <c:overlay val="0"/>
    </c:title>
    <c:autoTitleDeleted val="0"/>
    <c:plotArea>
      <c:layout/>
      <c:pieChart>
        <c:varyColors val="1"/>
        <c:ser>
          <c:idx val="0"/>
          <c:order val="0"/>
          <c:spPr>
            <a:solidFill>
              <a:srgbClr val="005AA4"/>
            </a:solidFill>
          </c:spPr>
          <c:dPt>
            <c:idx val="0"/>
            <c:bubble3D val="0"/>
            <c:extLst>
              <c:ext xmlns:c16="http://schemas.microsoft.com/office/drawing/2014/chart" uri="{C3380CC4-5D6E-409C-BE32-E72D297353CC}">
                <c16:uniqueId val="{00000000-19C0-4F5D-BA35-1F36620E039C}"/>
              </c:ext>
            </c:extLst>
          </c:dPt>
          <c:dPt>
            <c:idx val="1"/>
            <c:bubble3D val="0"/>
            <c:spPr>
              <a:solidFill>
                <a:srgbClr val="D0B86A"/>
              </a:solidFill>
            </c:spPr>
            <c:extLst>
              <c:ext xmlns:c16="http://schemas.microsoft.com/office/drawing/2014/chart" uri="{C3380CC4-5D6E-409C-BE32-E72D297353CC}">
                <c16:uniqueId val="{00000002-19C0-4F5D-BA35-1F36620E039C}"/>
              </c:ext>
            </c:extLst>
          </c:dPt>
          <c:dPt>
            <c:idx val="2"/>
            <c:bubble3D val="0"/>
            <c:spPr>
              <a:solidFill>
                <a:srgbClr val="226B5A"/>
              </a:solidFill>
            </c:spPr>
            <c:extLst>
              <c:ext xmlns:c16="http://schemas.microsoft.com/office/drawing/2014/chart" uri="{C3380CC4-5D6E-409C-BE32-E72D297353CC}">
                <c16:uniqueId val="{00000004-19C0-4F5D-BA35-1F36620E039C}"/>
              </c:ext>
            </c:extLst>
          </c:dPt>
          <c:dPt>
            <c:idx val="3"/>
            <c:bubble3D val="0"/>
            <c:spPr>
              <a:solidFill>
                <a:srgbClr val="00A1E2"/>
              </a:solidFill>
            </c:spPr>
            <c:extLst>
              <c:ext xmlns:c16="http://schemas.microsoft.com/office/drawing/2014/chart" uri="{C3380CC4-5D6E-409C-BE32-E72D297353CC}">
                <c16:uniqueId val="{00000006-19C0-4F5D-BA35-1F36620E039C}"/>
              </c:ext>
            </c:extLst>
          </c:dPt>
          <c:dPt>
            <c:idx val="4"/>
            <c:bubble3D val="0"/>
            <c:spPr>
              <a:solidFill>
                <a:srgbClr val="80ADD2"/>
              </a:solidFill>
            </c:spPr>
            <c:extLst>
              <c:ext xmlns:c16="http://schemas.microsoft.com/office/drawing/2014/chart" uri="{C3380CC4-5D6E-409C-BE32-E72D297353CC}">
                <c16:uniqueId val="{00000008-19C0-4F5D-BA35-1F36620E039C}"/>
              </c:ext>
            </c:extLst>
          </c:dPt>
          <c:dPt>
            <c:idx val="5"/>
            <c:bubble3D val="0"/>
            <c:spPr>
              <a:solidFill>
                <a:srgbClr val="96C7BC"/>
              </a:solidFill>
            </c:spPr>
            <c:extLst>
              <c:ext xmlns:c16="http://schemas.microsoft.com/office/drawing/2014/chart" uri="{C3380CC4-5D6E-409C-BE32-E72D297353CC}">
                <c16:uniqueId val="{0000000A-19C0-4F5D-BA35-1F36620E039C}"/>
              </c:ext>
            </c:extLst>
          </c:dPt>
          <c:dPt>
            <c:idx val="6"/>
            <c:bubble3D val="0"/>
            <c:spPr>
              <a:solidFill>
                <a:srgbClr val="8CD5F2"/>
              </a:solidFill>
            </c:spPr>
            <c:extLst>
              <c:ext xmlns:c16="http://schemas.microsoft.com/office/drawing/2014/chart" uri="{C3380CC4-5D6E-409C-BE32-E72D297353CC}">
                <c16:uniqueId val="{0000000C-19C0-4F5D-BA35-1F36620E039C}"/>
              </c:ext>
            </c:extLst>
          </c:dPt>
          <c:dPt>
            <c:idx val="7"/>
            <c:bubble3D val="0"/>
            <c:spPr>
              <a:solidFill>
                <a:srgbClr val="93959B"/>
              </a:solidFill>
            </c:spPr>
            <c:extLst>
              <c:ext xmlns:c16="http://schemas.microsoft.com/office/drawing/2014/chart" uri="{C3380CC4-5D6E-409C-BE32-E72D297353CC}">
                <c16:uniqueId val="{0000000E-19C0-4F5D-BA35-1F36620E039C}"/>
              </c:ext>
            </c:extLst>
          </c:dPt>
          <c:dPt>
            <c:idx val="8"/>
            <c:bubble3D val="0"/>
            <c:spPr>
              <a:solidFill>
                <a:srgbClr val="2673B2"/>
              </a:solidFill>
            </c:spPr>
            <c:extLst>
              <c:ext xmlns:c16="http://schemas.microsoft.com/office/drawing/2014/chart" uri="{C3380CC4-5D6E-409C-BE32-E72D297353CC}">
                <c16:uniqueId val="{00000010-19C0-4F5D-BA35-1F36620E039C}"/>
              </c:ext>
            </c:extLst>
          </c:dPt>
          <c:dPt>
            <c:idx val="9"/>
            <c:bubble3D val="0"/>
            <c:spPr>
              <a:solidFill>
                <a:srgbClr val="E0D19E"/>
              </a:solidFill>
            </c:spPr>
            <c:extLst>
              <c:ext xmlns:c16="http://schemas.microsoft.com/office/drawing/2014/chart" uri="{C3380CC4-5D6E-409C-BE32-E72D297353CC}">
                <c16:uniqueId val="{00000012-19C0-4F5D-BA35-1F36620E039C}"/>
              </c:ext>
            </c:extLst>
          </c:dPt>
          <c:dPt>
            <c:idx val="10"/>
            <c:bubble3D val="0"/>
            <c:spPr>
              <a:solidFill>
                <a:srgbClr val="DDAAB6"/>
              </a:solidFill>
            </c:spPr>
            <c:extLst>
              <c:ext xmlns:c16="http://schemas.microsoft.com/office/drawing/2014/chart" uri="{C3380CC4-5D6E-409C-BE32-E72D297353CC}">
                <c16:uniqueId val="{00000014-19C0-4F5D-BA35-1F36620E039C}"/>
              </c:ext>
            </c:extLst>
          </c:dPt>
          <c:dPt>
            <c:idx val="12"/>
            <c:bubble3D val="0"/>
            <c:spPr>
              <a:solidFill>
                <a:srgbClr val="32A69F"/>
              </a:solidFill>
            </c:spPr>
            <c:extLst>
              <c:ext xmlns:c16="http://schemas.microsoft.com/office/drawing/2014/chart" uri="{C3380CC4-5D6E-409C-BE32-E72D297353CC}">
                <c16:uniqueId val="{00000016-19C0-4F5D-BA35-1F36620E039C}"/>
              </c:ext>
            </c:extLst>
          </c:dPt>
          <c:dPt>
            <c:idx val="14"/>
            <c:bubble3D val="0"/>
            <c:spPr>
              <a:solidFill>
                <a:srgbClr val="7072BB"/>
              </a:solidFill>
            </c:spPr>
            <c:extLst>
              <c:ext xmlns:c16="http://schemas.microsoft.com/office/drawing/2014/chart" uri="{C3380CC4-5D6E-409C-BE32-E72D297353CC}">
                <c16:uniqueId val="{00000018-19C0-4F5D-BA35-1F36620E039C}"/>
              </c:ext>
            </c:extLst>
          </c:dPt>
          <c:dPt>
            <c:idx val="16"/>
            <c:bubble3D val="0"/>
            <c:extLst>
              <c:ext xmlns:c16="http://schemas.microsoft.com/office/drawing/2014/chart" uri="{C3380CC4-5D6E-409C-BE32-E72D297353CC}">
                <c16:uniqueId val="{00000019-19C0-4F5D-BA35-1F36620E039C}"/>
              </c:ext>
            </c:extLst>
          </c:dPt>
          <c:dPt>
            <c:idx val="17"/>
            <c:bubble3D val="0"/>
            <c:extLst>
              <c:ext xmlns:c16="http://schemas.microsoft.com/office/drawing/2014/chart" uri="{C3380CC4-5D6E-409C-BE32-E72D297353CC}">
                <c16:uniqueId val="{0000001A-19C0-4F5D-BA35-1F36620E039C}"/>
              </c:ext>
            </c:extLst>
          </c:dPt>
          <c:dLbls>
            <c:dLbl>
              <c:idx val="5"/>
              <c:layout>
                <c:manualLayout>
                  <c:x val="2.2222222222222223E-2"/>
                  <c:y val="-4.277486147564887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19C0-4F5D-BA35-1F36620E039C}"/>
                </c:ext>
              </c:extLst>
            </c:dLbl>
            <c:dLbl>
              <c:idx val="6"/>
              <c:layout>
                <c:manualLayout>
                  <c:x val="1.3888888888888838E-2"/>
                  <c:y val="4.16666666666666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19C0-4F5D-BA35-1F36620E039C}"/>
                </c:ext>
              </c:extLst>
            </c:dLbl>
            <c:dLbl>
              <c:idx val="7"/>
              <c:layout>
                <c:manualLayout>
                  <c:x val="8.3333333333333332E-3"/>
                  <c:y val="1.3888888888888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19C0-4F5D-BA35-1F36620E039C}"/>
                </c:ext>
              </c:extLst>
            </c:dLbl>
            <c:dLbl>
              <c:idx val="8"/>
              <c:layout>
                <c:manualLayout>
                  <c:x val="1.6666666666666666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19C0-4F5D-BA35-1F36620E039C}"/>
                </c:ext>
              </c:extLst>
            </c:dLbl>
            <c:dLbl>
              <c:idx val="9"/>
              <c:layout>
                <c:manualLayout>
                  <c:x val="-3.3333333333333333E-2"/>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19C0-4F5D-BA35-1F36620E039C}"/>
                </c:ext>
              </c:extLst>
            </c:dLbl>
            <c:dLbl>
              <c:idx val="10"/>
              <c:layout>
                <c:manualLayout>
                  <c:x val="8.3333333333333072E-3"/>
                  <c:y val="-8.7962962962962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19C0-4F5D-BA35-1F36620E039C}"/>
                </c:ext>
              </c:extLst>
            </c:dLbl>
            <c:dLbl>
              <c:idx val="11"/>
              <c:layout>
                <c:manualLayout>
                  <c:x val="-6.9444444444444448E-2"/>
                  <c:y val="-9.722222222222222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19C0-4F5D-BA35-1F36620E039C}"/>
                </c:ext>
              </c:extLst>
            </c:dLbl>
            <c:dLbl>
              <c:idx val="12"/>
              <c:layout>
                <c:manualLayout>
                  <c:x val="6.6666666666666638E-2"/>
                  <c:y val="-0.245370370370370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19C0-4F5D-BA35-1F36620E039C}"/>
                </c:ext>
              </c:extLst>
            </c:dLbl>
            <c:dLbl>
              <c:idx val="13"/>
              <c:layout>
                <c:manualLayout>
                  <c:x val="2.7777777777777776E-2"/>
                  <c:y val="-0.1481481481481481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C-19C0-4F5D-BA35-1F36620E039C}"/>
                </c:ext>
              </c:extLst>
            </c:dLbl>
            <c:dLbl>
              <c:idx val="14"/>
              <c:layout>
                <c:manualLayout>
                  <c:x val="5.5555555555555552E-2"/>
                  <c:y val="-4.16666666666666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8-19C0-4F5D-BA35-1F36620E039C}"/>
                </c:ext>
              </c:extLst>
            </c:dLbl>
            <c:spPr>
              <a:noFill/>
              <a:ln>
                <a:no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'ODM share analysis'!$Y$104:$Y$118</c:f>
              <c:strCache>
                <c:ptCount val="15"/>
                <c:pt idx="0">
                  <c:v>Microsoft</c:v>
                </c:pt>
                <c:pt idx="1">
                  <c:v>Google</c:v>
                </c:pt>
                <c:pt idx="2">
                  <c:v>Amazon</c:v>
                </c:pt>
                <c:pt idx="3">
                  <c:v>Meta Platforms</c:v>
                </c:pt>
                <c:pt idx="4">
                  <c:v>Coreweave</c:v>
                </c:pt>
                <c:pt idx="5">
                  <c:v>Oracle</c:v>
                </c:pt>
                <c:pt idx="6">
                  <c:v>Tesla/X</c:v>
                </c:pt>
                <c:pt idx="7">
                  <c:v>ByteDance</c:v>
                </c:pt>
                <c:pt idx="8">
                  <c:v>Baidu</c:v>
                </c:pt>
                <c:pt idx="9">
                  <c:v>Alibaba</c:v>
                </c:pt>
                <c:pt idx="10">
                  <c:v>Tencent</c:v>
                </c:pt>
                <c:pt idx="11">
                  <c:v>Lambda</c:v>
                </c:pt>
                <c:pt idx="12">
                  <c:v>Applied Digital</c:v>
                </c:pt>
                <c:pt idx="13">
                  <c:v>Taiga Cloud</c:v>
                </c:pt>
                <c:pt idx="14">
                  <c:v>Others</c:v>
                </c:pt>
              </c:strCache>
            </c:strRef>
          </c:cat>
          <c:val>
            <c:numRef>
              <c:f>'ODM share analysis'!$Z$104:$Z$118</c:f>
              <c:numCache>
                <c:formatCode>0%</c:formatCode>
                <c:ptCount val="15"/>
                <c:pt idx="0">
                  <c:v>0.17429718331144925</c:v>
                </c:pt>
                <c:pt idx="1">
                  <c:v>7.9225992414295107E-2</c:v>
                </c:pt>
                <c:pt idx="2">
                  <c:v>5.2817328276196743E-2</c:v>
                </c:pt>
                <c:pt idx="3">
                  <c:v>0.10563465655239349</c:v>
                </c:pt>
                <c:pt idx="4">
                  <c:v>7.3944259586675443E-2</c:v>
                </c:pt>
                <c:pt idx="5">
                  <c:v>7.9225992414295107E-2</c:v>
                </c:pt>
                <c:pt idx="6">
                  <c:v>3.1690396965718043E-2</c:v>
                </c:pt>
                <c:pt idx="7">
                  <c:v>5.2817328276196743E-2</c:v>
                </c:pt>
                <c:pt idx="8">
                  <c:v>1.5845198482859021E-2</c:v>
                </c:pt>
                <c:pt idx="9">
                  <c:v>1.5845198482859021E-2</c:v>
                </c:pt>
                <c:pt idx="10">
                  <c:v>2.6408664138098371E-2</c:v>
                </c:pt>
                <c:pt idx="11">
                  <c:v>7.9225992414295107E-3</c:v>
                </c:pt>
                <c:pt idx="12">
                  <c:v>4.7535595448577068E-3</c:v>
                </c:pt>
                <c:pt idx="13">
                  <c:v>1.5845198482859022E-3</c:v>
                </c:pt>
                <c:pt idx="14">
                  <c:v>0.2779871224643905</c:v>
                </c:pt>
              </c:numCache>
            </c:numRef>
          </c:val>
          <c:extLst>
            <c:ext xmlns:c16="http://schemas.microsoft.com/office/drawing/2014/chart" uri="{C3380CC4-5D6E-409C-BE32-E72D297353CC}">
              <c16:uniqueId val="{0000001D-19C0-4F5D-BA35-1F36620E039C}"/>
            </c:ext>
          </c:extLst>
        </c:ser>
        <c:dLbls>
          <c:showLegendKey val="0"/>
          <c:showVal val="0"/>
          <c:showCatName val="0"/>
          <c:showSerName val="0"/>
          <c:showPercent val="0"/>
          <c:showBubbleSize val="0"/>
          <c:showLeaderLines val="0"/>
        </c:dLbls>
        <c:firstSliceAng val="0"/>
      </c:pieChart>
      <c:spPr>
        <a:noFill/>
        <a:extLst>
          <a:ext uri="{909E8E84-426E-40DD-AFC4-6F175D3DCCD1}">
            <a14:hiddenFill xmlns:a14="http://schemas.microsoft.com/office/drawing/2010/main">
              <a:noFill/>
            </a14:hiddenFill>
          </a:ext>
        </a:extLst>
      </c:spPr>
    </c:plotArea>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HGX/DGX server demand share, 2024e</a:t>
            </a:r>
          </a:p>
        </c:rich>
      </c:tx>
      <c:layout>
        <c:manualLayout>
          <c:xMode val="edge"/>
          <c:yMode val="edge"/>
          <c:x val="2.6111111111111049E-3"/>
          <c:y val="0"/>
        </c:manualLayout>
      </c:layout>
      <c:overlay val="0"/>
    </c:title>
    <c:autoTitleDeleted val="0"/>
    <c:plotArea>
      <c:layout/>
      <c:pieChart>
        <c:varyColors val="1"/>
        <c:ser>
          <c:idx val="0"/>
          <c:order val="0"/>
          <c:spPr>
            <a:solidFill>
              <a:srgbClr val="005AA4"/>
            </a:solidFill>
          </c:spPr>
          <c:dPt>
            <c:idx val="0"/>
            <c:bubble3D val="0"/>
            <c:extLst>
              <c:ext xmlns:c16="http://schemas.microsoft.com/office/drawing/2014/chart" uri="{C3380CC4-5D6E-409C-BE32-E72D297353CC}">
                <c16:uniqueId val="{00000000-C9A9-409C-8808-C8B61844EDB4}"/>
              </c:ext>
            </c:extLst>
          </c:dPt>
          <c:dPt>
            <c:idx val="1"/>
            <c:bubble3D val="0"/>
            <c:spPr>
              <a:solidFill>
                <a:srgbClr val="D0B86A"/>
              </a:solidFill>
            </c:spPr>
            <c:extLst>
              <c:ext xmlns:c16="http://schemas.microsoft.com/office/drawing/2014/chart" uri="{C3380CC4-5D6E-409C-BE32-E72D297353CC}">
                <c16:uniqueId val="{00000002-C9A9-409C-8808-C8B61844EDB4}"/>
              </c:ext>
            </c:extLst>
          </c:dPt>
          <c:dPt>
            <c:idx val="2"/>
            <c:bubble3D val="0"/>
            <c:spPr>
              <a:solidFill>
                <a:srgbClr val="226B5A"/>
              </a:solidFill>
            </c:spPr>
            <c:extLst>
              <c:ext xmlns:c16="http://schemas.microsoft.com/office/drawing/2014/chart" uri="{C3380CC4-5D6E-409C-BE32-E72D297353CC}">
                <c16:uniqueId val="{00000004-C9A9-409C-8808-C8B61844EDB4}"/>
              </c:ext>
            </c:extLst>
          </c:dPt>
          <c:dPt>
            <c:idx val="3"/>
            <c:bubble3D val="0"/>
            <c:spPr>
              <a:solidFill>
                <a:srgbClr val="00A1E2"/>
              </a:solidFill>
            </c:spPr>
            <c:extLst>
              <c:ext xmlns:c16="http://schemas.microsoft.com/office/drawing/2014/chart" uri="{C3380CC4-5D6E-409C-BE32-E72D297353CC}">
                <c16:uniqueId val="{00000006-C9A9-409C-8808-C8B61844EDB4}"/>
              </c:ext>
            </c:extLst>
          </c:dPt>
          <c:dPt>
            <c:idx val="4"/>
            <c:bubble3D val="0"/>
            <c:spPr>
              <a:solidFill>
                <a:srgbClr val="EADFBC"/>
              </a:solidFill>
            </c:spPr>
            <c:extLst>
              <c:ext xmlns:c16="http://schemas.microsoft.com/office/drawing/2014/chart" uri="{C3380CC4-5D6E-409C-BE32-E72D297353CC}">
                <c16:uniqueId val="{00000008-C9A9-409C-8808-C8B61844EDB4}"/>
              </c:ext>
            </c:extLst>
          </c:dPt>
          <c:dPt>
            <c:idx val="5"/>
            <c:bubble3D val="0"/>
            <c:spPr>
              <a:solidFill>
                <a:srgbClr val="80ADD2"/>
              </a:solidFill>
            </c:spPr>
            <c:extLst>
              <c:ext xmlns:c16="http://schemas.microsoft.com/office/drawing/2014/chart" uri="{C3380CC4-5D6E-409C-BE32-E72D297353CC}">
                <c16:uniqueId val="{0000000A-C9A9-409C-8808-C8B61844EDB4}"/>
              </c:ext>
            </c:extLst>
          </c:dPt>
          <c:dPt>
            <c:idx val="7"/>
            <c:bubble3D val="0"/>
            <c:spPr>
              <a:solidFill>
                <a:srgbClr val="96C7BC"/>
              </a:solidFill>
            </c:spPr>
            <c:extLst>
              <c:ext xmlns:c16="http://schemas.microsoft.com/office/drawing/2014/chart" uri="{C3380CC4-5D6E-409C-BE32-E72D297353CC}">
                <c16:uniqueId val="{0000000C-C9A9-409C-8808-C8B61844EDB4}"/>
              </c:ext>
            </c:extLst>
          </c:dPt>
          <c:dPt>
            <c:idx val="9"/>
            <c:bubble3D val="0"/>
            <c:spPr>
              <a:solidFill>
                <a:srgbClr val="8CD5F2"/>
              </a:solidFill>
            </c:spPr>
            <c:extLst>
              <c:ext xmlns:c16="http://schemas.microsoft.com/office/drawing/2014/chart" uri="{C3380CC4-5D6E-409C-BE32-E72D297353CC}">
                <c16:uniqueId val="{0000000E-C9A9-409C-8808-C8B61844EDB4}"/>
              </c:ext>
            </c:extLst>
          </c:dPt>
          <c:dPt>
            <c:idx val="10"/>
            <c:bubble3D val="0"/>
            <c:spPr>
              <a:solidFill>
                <a:srgbClr val="93959B"/>
              </a:solidFill>
            </c:spPr>
            <c:extLst>
              <c:ext xmlns:c16="http://schemas.microsoft.com/office/drawing/2014/chart" uri="{C3380CC4-5D6E-409C-BE32-E72D297353CC}">
                <c16:uniqueId val="{00000010-C9A9-409C-8808-C8B61844EDB4}"/>
              </c:ext>
            </c:extLst>
          </c:dPt>
          <c:dPt>
            <c:idx val="11"/>
            <c:bubble3D val="0"/>
            <c:spPr>
              <a:solidFill>
                <a:srgbClr val="2673B2"/>
              </a:solidFill>
            </c:spPr>
            <c:extLst>
              <c:ext xmlns:c16="http://schemas.microsoft.com/office/drawing/2014/chart" uri="{C3380CC4-5D6E-409C-BE32-E72D297353CC}">
                <c16:uniqueId val="{00000012-C9A9-409C-8808-C8B61844EDB4}"/>
              </c:ext>
            </c:extLst>
          </c:dPt>
          <c:dPt>
            <c:idx val="12"/>
            <c:bubble3D val="0"/>
            <c:spPr>
              <a:solidFill>
                <a:srgbClr val="E0D19E"/>
              </a:solidFill>
            </c:spPr>
            <c:extLst>
              <c:ext xmlns:c16="http://schemas.microsoft.com/office/drawing/2014/chart" uri="{C3380CC4-5D6E-409C-BE32-E72D297353CC}">
                <c16:uniqueId val="{00000014-C9A9-409C-8808-C8B61844EDB4}"/>
              </c:ext>
            </c:extLst>
          </c:dPt>
          <c:dPt>
            <c:idx val="13"/>
            <c:bubble3D val="0"/>
            <c:spPr>
              <a:solidFill>
                <a:srgbClr val="DDAAB6"/>
              </a:solidFill>
            </c:spPr>
            <c:extLst>
              <c:ext xmlns:c16="http://schemas.microsoft.com/office/drawing/2014/chart" uri="{C3380CC4-5D6E-409C-BE32-E72D297353CC}">
                <c16:uniqueId val="{00000016-C9A9-409C-8808-C8B61844EDB4}"/>
              </c:ext>
            </c:extLst>
          </c:dPt>
          <c:dPt>
            <c:idx val="15"/>
            <c:bubble3D val="0"/>
            <c:spPr>
              <a:solidFill>
                <a:srgbClr val="32A69F"/>
              </a:solidFill>
            </c:spPr>
            <c:extLst>
              <c:ext xmlns:c16="http://schemas.microsoft.com/office/drawing/2014/chart" uri="{C3380CC4-5D6E-409C-BE32-E72D297353CC}">
                <c16:uniqueId val="{00000018-C9A9-409C-8808-C8B61844EDB4}"/>
              </c:ext>
            </c:extLst>
          </c:dPt>
          <c:dPt>
            <c:idx val="17"/>
            <c:bubble3D val="0"/>
            <c:spPr>
              <a:solidFill>
                <a:srgbClr val="7072BB"/>
              </a:solidFill>
            </c:spPr>
            <c:extLst>
              <c:ext xmlns:c16="http://schemas.microsoft.com/office/drawing/2014/chart" uri="{C3380CC4-5D6E-409C-BE32-E72D297353CC}">
                <c16:uniqueId val="{0000001A-C9A9-409C-8808-C8B61844EDB4}"/>
              </c:ext>
            </c:extLst>
          </c:dPt>
          <c:dLbls>
            <c:dLbl>
              <c:idx val="5"/>
              <c:layout>
                <c:manualLayout>
                  <c:x val="-1.3888888888888888E-2"/>
                  <c:y val="-9.25925925925942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C9A9-409C-8808-C8B61844EDB4}"/>
                </c:ext>
              </c:extLst>
            </c:dLbl>
            <c:dLbl>
              <c:idx val="6"/>
              <c:layout>
                <c:manualLayout>
                  <c:x val="1.3888888888888838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C9A9-409C-8808-C8B61844EDB4}"/>
                </c:ext>
              </c:extLst>
            </c:dLbl>
            <c:dLbl>
              <c:idx val="7"/>
              <c:layout>
                <c:manualLayout>
                  <c:x val="2.5000000000000001E-2"/>
                  <c:y val="8.406969962088072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C9A9-409C-8808-C8B61844EDB4}"/>
                </c:ext>
              </c:extLst>
            </c:dLbl>
            <c:dLbl>
              <c:idx val="8"/>
              <c:layout>
                <c:manualLayout>
                  <c:x val="2.2222222222222272E-2"/>
                  <c:y val="8.406969962088072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C-C9A9-409C-8808-C8B61844EDB4}"/>
                </c:ext>
              </c:extLst>
            </c:dLbl>
            <c:dLbl>
              <c:idx val="9"/>
              <c:layout>
                <c:manualLayout>
                  <c:x val="1.1085083114610622E-2"/>
                  <c:y val="8.544036162146398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C9A9-409C-8808-C8B61844EDB4}"/>
                </c:ext>
              </c:extLst>
            </c:dLbl>
            <c:dLbl>
              <c:idx val="10"/>
              <c:layout>
                <c:manualLayout>
                  <c:x val="1.954811898512681E-2"/>
                  <c:y val="3.240740740740723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C9A9-409C-8808-C8B61844EDB4}"/>
                </c:ext>
              </c:extLst>
            </c:dLbl>
            <c:dLbl>
              <c:idx val="11"/>
              <c:layout>
                <c:manualLayout>
                  <c:x val="5.4129483814522672E-3"/>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C9A9-409C-8808-C8B61844EDB4}"/>
                </c:ext>
              </c:extLst>
            </c:dLbl>
            <c:dLbl>
              <c:idx val="12"/>
              <c:layout>
                <c:manualLayout>
                  <c:x val="2.7230971128608926E-4"/>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C9A9-409C-8808-C8B61844EDB4}"/>
                </c:ext>
              </c:extLst>
            </c:dLbl>
            <c:dLbl>
              <c:idx val="13"/>
              <c:layout>
                <c:manualLayout>
                  <c:x val="2.7209098862642167E-4"/>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C9A9-409C-8808-C8B61844EDB4}"/>
                </c:ext>
              </c:extLst>
            </c:dLbl>
            <c:dLbl>
              <c:idx val="14"/>
              <c:layout>
                <c:manualLayout>
                  <c:x val="3.5968503937007873E-2"/>
                  <c:y val="2.31481481481481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D-C9A9-409C-8808-C8B61844EDB4}"/>
                </c:ext>
              </c:extLst>
            </c:dLbl>
            <c:dLbl>
              <c:idx val="15"/>
              <c:layout>
                <c:manualLayout>
                  <c:x val="0.20542607174103231"/>
                  <c:y val="-0.1712962962962963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8-C9A9-409C-8808-C8B61844EDB4}"/>
                </c:ext>
              </c:extLst>
            </c:dLbl>
            <c:dLbl>
              <c:idx val="16"/>
              <c:layout>
                <c:manualLayout>
                  <c:x val="6.1111111111111061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E-C9A9-409C-8808-C8B61844EDB4}"/>
                </c:ext>
              </c:extLst>
            </c:dLbl>
            <c:dLbl>
              <c:idx val="17"/>
              <c:layout>
                <c:manualLayout>
                  <c:x val="6.1124015748031398E-2"/>
                  <c:y val="0.16203703703703703"/>
                </c:manualLayout>
              </c:layout>
              <c:spPr>
                <a:noFill/>
                <a:ln>
                  <a:noFill/>
                </a:ln>
                <a:effectLst/>
              </c:spPr>
              <c:txPr>
                <a:bodyPr wrap="square" lIns="38100" tIns="19050" rIns="38100" bIns="19050" anchor="ctr">
                  <a:spAutoFit/>
                </a:bodyPr>
                <a:lstStyle/>
                <a:p>
                  <a:pPr>
                    <a:defRPr>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A-C9A9-409C-8808-C8B61844EDB4}"/>
                </c:ext>
              </c:extLst>
            </c:dLbl>
            <c:spPr>
              <a:noFill/>
              <a:ln>
                <a:no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'ODM share analysis'!$Y$146:$Y$163</c:f>
              <c:strCache>
                <c:ptCount val="18"/>
                <c:pt idx="0">
                  <c:v>Microsoft</c:v>
                </c:pt>
                <c:pt idx="1">
                  <c:v>Google</c:v>
                </c:pt>
                <c:pt idx="2">
                  <c:v>Amazon</c:v>
                </c:pt>
                <c:pt idx="3">
                  <c:v>Meta Platforms</c:v>
                </c:pt>
                <c:pt idx="4">
                  <c:v>Dell</c:v>
                </c:pt>
                <c:pt idx="5">
                  <c:v>Coreweave</c:v>
                </c:pt>
                <c:pt idx="6">
                  <c:v>HPE</c:v>
                </c:pt>
                <c:pt idx="7">
                  <c:v>Oracle</c:v>
                </c:pt>
                <c:pt idx="8">
                  <c:v>Apple</c:v>
                </c:pt>
                <c:pt idx="9">
                  <c:v>Tesla/X</c:v>
                </c:pt>
                <c:pt idx="10">
                  <c:v>ByteDance</c:v>
                </c:pt>
                <c:pt idx="11">
                  <c:v>Baidu</c:v>
                </c:pt>
                <c:pt idx="12">
                  <c:v>Alibaba</c:v>
                </c:pt>
                <c:pt idx="13">
                  <c:v>Tencent</c:v>
                </c:pt>
                <c:pt idx="14">
                  <c:v>Lambda</c:v>
                </c:pt>
                <c:pt idx="15">
                  <c:v>Applied Digital</c:v>
                </c:pt>
                <c:pt idx="16">
                  <c:v>Taiga Cloud</c:v>
                </c:pt>
                <c:pt idx="17">
                  <c:v>Others</c:v>
                </c:pt>
              </c:strCache>
            </c:strRef>
          </c:cat>
          <c:val>
            <c:numRef>
              <c:f>'ODM share analysis'!$Z$146:$Z$163</c:f>
              <c:numCache>
                <c:formatCode>0%</c:formatCode>
                <c:ptCount val="18"/>
                <c:pt idx="0">
                  <c:v>0.13314946026915211</c:v>
                </c:pt>
                <c:pt idx="1">
                  <c:v>5.7064054401065191E-2</c:v>
                </c:pt>
                <c:pt idx="2">
                  <c:v>6.2770459841171716E-2</c:v>
                </c:pt>
                <c:pt idx="3">
                  <c:v>6.6574730134576057E-2</c:v>
                </c:pt>
                <c:pt idx="4">
                  <c:v>6.0868324694469539E-2</c:v>
                </c:pt>
                <c:pt idx="5">
                  <c:v>8.559608160159779E-2</c:v>
                </c:pt>
                <c:pt idx="6">
                  <c:v>1.9021351467021733E-2</c:v>
                </c:pt>
                <c:pt idx="7">
                  <c:v>3.8042702934043465E-2</c:v>
                </c:pt>
                <c:pt idx="8">
                  <c:v>3.8042702934043465E-2</c:v>
                </c:pt>
                <c:pt idx="9">
                  <c:v>4.1846973227447813E-2</c:v>
                </c:pt>
                <c:pt idx="10">
                  <c:v>6.6574730134576057E-2</c:v>
                </c:pt>
                <c:pt idx="11">
                  <c:v>3.8042702934043465E-2</c:v>
                </c:pt>
                <c:pt idx="12">
                  <c:v>4.7553378667554325E-2</c:v>
                </c:pt>
                <c:pt idx="13">
                  <c:v>5.7064054401065191E-2</c:v>
                </c:pt>
                <c:pt idx="14">
                  <c:v>2.8532027200532596E-3</c:v>
                </c:pt>
                <c:pt idx="15">
                  <c:v>6.3721527414522805E-3</c:v>
                </c:pt>
                <c:pt idx="16">
                  <c:v>9.5106757335108663E-3</c:v>
                </c:pt>
                <c:pt idx="17">
                  <c:v>0.16905226116315575</c:v>
                </c:pt>
              </c:numCache>
            </c:numRef>
          </c:val>
          <c:extLst>
            <c:ext xmlns:c16="http://schemas.microsoft.com/office/drawing/2014/chart" uri="{C3380CC4-5D6E-409C-BE32-E72D297353CC}">
              <c16:uniqueId val="{0000001F-C9A9-409C-8808-C8B61844EDB4}"/>
            </c:ext>
          </c:extLst>
        </c:ser>
        <c:dLbls>
          <c:showLegendKey val="0"/>
          <c:showVal val="0"/>
          <c:showCatName val="0"/>
          <c:showSerName val="0"/>
          <c:showPercent val="0"/>
          <c:showBubbleSize val="0"/>
          <c:showLeaderLines val="0"/>
        </c:dLbls>
        <c:firstSliceAng val="0"/>
      </c:pieChart>
      <c:spPr>
        <a:noFill/>
        <a:extLst>
          <a:ext uri="{909E8E84-426E-40DD-AFC4-6F175D3DCCD1}">
            <a14:hiddenFill xmlns:a14="http://schemas.microsoft.com/office/drawing/2010/main">
              <a:noFill/>
            </a14:hiddenFill>
          </a:ext>
        </a:extLst>
      </c:spPr>
    </c:plotArea>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L40S server</a:t>
            </a:r>
            <a:r>
              <a:rPr lang="en-US" sz="900" b="1" baseline="0">
                <a:solidFill>
                  <a:srgbClr val="000000"/>
                </a:solidFill>
              </a:rPr>
              <a:t> unit assumptions, 2023-25E</a:t>
            </a:r>
            <a:endParaRPr lang="en-US" sz="900" b="1">
              <a:solidFill>
                <a:srgbClr val="000000"/>
              </a:solidFill>
            </a:endParaRPr>
          </a:p>
        </c:rich>
      </c:tx>
      <c:layout>
        <c:manualLayout>
          <c:xMode val="edge"/>
          <c:yMode val="edge"/>
          <c:x val="2.6111111111111049E-3"/>
          <c:y val="0"/>
        </c:manualLayout>
      </c:layout>
      <c:overlay val="0"/>
    </c:title>
    <c:autoTitleDeleted val="0"/>
    <c:plotArea>
      <c:layout>
        <c:manualLayout>
          <c:layoutTarget val="inner"/>
          <c:xMode val="edge"/>
          <c:yMode val="edge"/>
          <c:x val="6.6000656167978997E-2"/>
          <c:y val="0.1616852580927384"/>
          <c:w val="0.92545231846019249"/>
          <c:h val="0.75924978127734033"/>
        </c:manualLayout>
      </c:layout>
      <c:barChart>
        <c:barDir val="col"/>
        <c:grouping val="stacked"/>
        <c:varyColors val="0"/>
        <c:ser>
          <c:idx val="0"/>
          <c:order val="0"/>
          <c:tx>
            <c:strRef>
              <c:f>'ODM share analysis'!$B$27</c:f>
              <c:strCache>
                <c:ptCount val="1"/>
                <c:pt idx="0">
                  <c:v>Others (L40S, etc)</c:v>
                </c:pt>
              </c:strCache>
            </c:strRef>
          </c:tx>
          <c:spPr>
            <a:solidFill>
              <a:srgbClr val="4AAC6B"/>
            </a:solidFill>
          </c:spPr>
          <c:invertIfNegative val="0"/>
          <c:cat>
            <c:numRef>
              <c:f>'ODM share analysis'!$C$10:$G$10</c:f>
              <c:numCache>
                <c:formatCode>General</c:formatCode>
                <c:ptCount val="4"/>
                <c:pt idx="0">
                  <c:v>2023</c:v>
                </c:pt>
                <c:pt idx="1">
                  <c:v>2024</c:v>
                </c:pt>
                <c:pt idx="2">
                  <c:v>2025</c:v>
                </c:pt>
                <c:pt idx="3">
                  <c:v>2026</c:v>
                </c:pt>
              </c:numCache>
            </c:numRef>
          </c:cat>
          <c:val>
            <c:numRef>
              <c:f>'ODM share analysis'!$C$27:$G$27</c:f>
              <c:numCache>
                <c:formatCode>#,##0</c:formatCode>
                <c:ptCount val="4"/>
                <c:pt idx="0">
                  <c:v>66.905950000000018</c:v>
                </c:pt>
                <c:pt idx="1">
                  <c:v>239.5</c:v>
                </c:pt>
                <c:pt idx="2">
                  <c:v>111.625</c:v>
                </c:pt>
                <c:pt idx="3">
                  <c:v>216.05</c:v>
                </c:pt>
              </c:numCache>
            </c:numRef>
          </c:val>
          <c:extLst>
            <c:ext xmlns:c16="http://schemas.microsoft.com/office/drawing/2014/chart" uri="{C3380CC4-5D6E-409C-BE32-E72D297353CC}">
              <c16:uniqueId val="{00000000-1305-4362-981B-D08FEC934C61}"/>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scaling>
        <c:delete val="0"/>
        <c:axPos val="l"/>
        <c:majorGridlines>
          <c:spPr>
            <a:ln w="6350" cap="rnd" cmpd="sng" algn="ctr">
              <a:solidFill>
                <a:srgbClr val="C0C0C0"/>
              </a:solidFill>
              <a:prstDash val="solid"/>
              <a:round/>
              <a:headEnd type="none" w="med" len="med"/>
              <a:tailEnd type="none" w="med" len="med"/>
            </a:ln>
          </c:spPr>
        </c:majorGridlines>
        <c:numFmt formatCode="#,##0" sourceLinked="0"/>
        <c:majorTickMark val="out"/>
        <c:minorTickMark val="none"/>
        <c:tickLblPos val="nextTo"/>
        <c:spPr>
          <a:ln>
            <a:noFill/>
          </a:ln>
        </c:spPr>
        <c:crossAx val="96755072"/>
        <c:crosses val="autoZero"/>
        <c:crossBetween val="between"/>
      </c:valAx>
      <c:spPr>
        <a:noFill/>
        <a:extLst>
          <a:ext uri="{909E8E84-426E-40DD-AFC4-6F175D3DCCD1}">
            <a14:hiddenFill xmlns:a14="http://schemas.microsoft.com/office/drawing/2010/main">
              <a:solidFill>
                <a:srgbClr val="FFFFFF"/>
              </a:solidFill>
            </a14:hiddenFill>
          </a:ext>
        </a:extLst>
      </c:spPr>
    </c:plotArea>
    <c:legend>
      <c:legendPos val="t"/>
      <c:layout>
        <c:manualLayout>
          <c:xMode val="edge"/>
          <c:yMode val="edge"/>
          <c:x val="0.8471135170603673"/>
          <c:y val="7.3148148148148143E-2"/>
          <c:w val="0.15021719160104988"/>
          <c:h val="7.1777486147564892E-2"/>
        </c:manualLayout>
      </c:layout>
      <c:overlay val="0"/>
      <c:spPr>
        <a:solidFill>
          <a:srgbClr val="FFFFFF"/>
        </a:solidFill>
      </c:spPr>
    </c:legend>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HGX/DGX AI server ODM supplier</a:t>
            </a:r>
            <a:r>
              <a:rPr lang="en-US" sz="900" b="1" baseline="0">
                <a:solidFill>
                  <a:srgbClr val="000000"/>
                </a:solidFill>
              </a:rPr>
              <a:t> share</a:t>
            </a:r>
            <a:endParaRPr lang="en-US" sz="900" b="1">
              <a:solidFill>
                <a:srgbClr val="000000"/>
              </a:solidFill>
            </a:endParaRPr>
          </a:p>
        </c:rich>
      </c:tx>
      <c:layout>
        <c:manualLayout>
          <c:xMode val="edge"/>
          <c:yMode val="edge"/>
          <c:x val="0"/>
          <c:y val="0"/>
        </c:manualLayout>
      </c:layout>
      <c:overlay val="0"/>
    </c:title>
    <c:autoTitleDeleted val="0"/>
    <c:plotArea>
      <c:layout>
        <c:manualLayout>
          <c:xMode val="edge"/>
          <c:yMode val="edge"/>
          <c:x val="8.5470085470085479E-3"/>
          <c:y val="6.0759493670886074E-2"/>
          <c:w val="0.98290598290598286"/>
          <c:h val="0.93502109704641345"/>
        </c:manualLayout>
      </c:layout>
      <c:barChart>
        <c:barDir val="col"/>
        <c:grouping val="percentStacked"/>
        <c:varyColors val="0"/>
        <c:ser>
          <c:idx val="0"/>
          <c:order val="0"/>
          <c:tx>
            <c:strRef>
              <c:f>'ODM share analysis'!$Y$11</c:f>
              <c:strCache>
                <c:ptCount val="1"/>
                <c:pt idx="0">
                  <c:v>Quanta</c:v>
                </c:pt>
              </c:strCache>
            </c:strRef>
          </c:tx>
          <c:spPr>
            <a:solidFill>
              <a:srgbClr val="005AA4"/>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analysis'!$Z$11:$AA$11</c:f>
              <c:numCache>
                <c:formatCode>0%</c:formatCode>
                <c:ptCount val="2"/>
                <c:pt idx="0">
                  <c:v>8.4507725241914772E-2</c:v>
                </c:pt>
                <c:pt idx="1">
                  <c:v>0.13124732512244994</c:v>
                </c:pt>
              </c:numCache>
            </c:numRef>
          </c:val>
          <c:extLst>
            <c:ext xmlns:c16="http://schemas.microsoft.com/office/drawing/2014/chart" uri="{C3380CC4-5D6E-409C-BE32-E72D297353CC}">
              <c16:uniqueId val="{00000000-CCC1-481C-9264-4E0B6DBC8579}"/>
            </c:ext>
          </c:extLst>
        </c:ser>
        <c:ser>
          <c:idx val="1"/>
          <c:order val="1"/>
          <c:tx>
            <c:strRef>
              <c:f>'ODM share analysis'!$Y$12</c:f>
              <c:strCache>
                <c:ptCount val="1"/>
                <c:pt idx="0">
                  <c:v>Inventec/ZT Systems</c:v>
                </c:pt>
              </c:strCache>
            </c:strRef>
          </c:tx>
          <c:spPr>
            <a:solidFill>
              <a:srgbClr val="D0B86A"/>
            </a:solidFill>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analysis'!$Z$12:$AA$12</c:f>
              <c:numCache>
                <c:formatCode>0%</c:formatCode>
                <c:ptCount val="2"/>
                <c:pt idx="0">
                  <c:v>0.20334671386335743</c:v>
                </c:pt>
                <c:pt idx="1">
                  <c:v>8.9400351895002131E-2</c:v>
                </c:pt>
              </c:numCache>
            </c:numRef>
          </c:val>
          <c:extLst>
            <c:ext xmlns:c16="http://schemas.microsoft.com/office/drawing/2014/chart" uri="{C3380CC4-5D6E-409C-BE32-E72D297353CC}">
              <c16:uniqueId val="{00000001-CCC1-481C-9264-4E0B6DBC8579}"/>
            </c:ext>
          </c:extLst>
        </c:ser>
        <c:ser>
          <c:idx val="2"/>
          <c:order val="2"/>
          <c:tx>
            <c:strRef>
              <c:f>'ODM share analysis'!$Y$13</c:f>
              <c:strCache>
                <c:ptCount val="1"/>
                <c:pt idx="0">
                  <c:v>FII/HH</c:v>
                </c:pt>
              </c:strCache>
            </c:strRef>
          </c:tx>
          <c:spPr>
            <a:solidFill>
              <a:srgbClr val="226B5A"/>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analysis'!$Z$13:$AA$13</c:f>
              <c:numCache>
                <c:formatCode>0%</c:formatCode>
                <c:ptCount val="2"/>
                <c:pt idx="0">
                  <c:v>0.24295971007050499</c:v>
                </c:pt>
                <c:pt idx="1">
                  <c:v>0.16738789290979122</c:v>
                </c:pt>
              </c:numCache>
            </c:numRef>
          </c:val>
          <c:extLst>
            <c:ext xmlns:c16="http://schemas.microsoft.com/office/drawing/2014/chart" uri="{C3380CC4-5D6E-409C-BE32-E72D297353CC}">
              <c16:uniqueId val="{00000002-CCC1-481C-9264-4E0B6DBC8579}"/>
            </c:ext>
          </c:extLst>
        </c:ser>
        <c:ser>
          <c:idx val="3"/>
          <c:order val="3"/>
          <c:tx>
            <c:strRef>
              <c:f>'ODM share analysis'!$Y$14</c:f>
              <c:strCache>
                <c:ptCount val="1"/>
                <c:pt idx="0">
                  <c:v>Wiwynn</c:v>
                </c:pt>
              </c:strCache>
            </c:strRef>
          </c:tx>
          <c:spPr>
            <a:solidFill>
              <a:srgbClr val="00A1E2"/>
            </a:solidFill>
          </c:spPr>
          <c:invertIfNegative val="0"/>
          <c:dLbls>
            <c:dLbl>
              <c:idx val="0"/>
              <c:layout>
                <c:manualLayout>
                  <c:x val="-0.14722222222222223"/>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CCC1-481C-9264-4E0B6DBC8579}"/>
                </c:ext>
              </c:extLst>
            </c:dLbl>
            <c:dLbl>
              <c:idx val="1"/>
              <c:layout>
                <c:manualLayout>
                  <c:x val="-0.15"/>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CCC1-481C-9264-4E0B6DBC8579}"/>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analysis'!$Z$14:$AA$14</c:f>
              <c:numCache>
                <c:formatCode>0%</c:formatCode>
                <c:ptCount val="2"/>
                <c:pt idx="0">
                  <c:v>7.9225992414295107E-3</c:v>
                </c:pt>
                <c:pt idx="1">
                  <c:v>1.9021351467021731E-3</c:v>
                </c:pt>
              </c:numCache>
            </c:numRef>
          </c:val>
          <c:extLst>
            <c:ext xmlns:c16="http://schemas.microsoft.com/office/drawing/2014/chart" uri="{C3380CC4-5D6E-409C-BE32-E72D297353CC}">
              <c16:uniqueId val="{00000005-CCC1-481C-9264-4E0B6DBC8579}"/>
            </c:ext>
          </c:extLst>
        </c:ser>
        <c:ser>
          <c:idx val="4"/>
          <c:order val="4"/>
          <c:tx>
            <c:strRef>
              <c:f>'ODM share analysis'!$Y$15</c:f>
              <c:strCache>
                <c:ptCount val="1"/>
                <c:pt idx="0">
                  <c:v>Wistron</c:v>
                </c:pt>
              </c:strCache>
            </c:strRef>
          </c:tx>
          <c:spPr>
            <a:solidFill>
              <a:srgbClr val="EADFBC"/>
            </a:solidFill>
            <a:ln w="25400">
              <a:noFill/>
            </a:ln>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analysis'!$Z$15:$AA$15</c:f>
              <c:numCache>
                <c:formatCode>0%</c:formatCode>
                <c:ptCount val="2"/>
                <c:pt idx="0">
                  <c:v>1.5845198482859021E-2</c:v>
                </c:pt>
                <c:pt idx="1">
                  <c:v>2.4727756907128251E-2</c:v>
                </c:pt>
              </c:numCache>
            </c:numRef>
          </c:val>
          <c:extLst>
            <c:ext xmlns:c16="http://schemas.microsoft.com/office/drawing/2014/chart" uri="{C3380CC4-5D6E-409C-BE32-E72D297353CC}">
              <c16:uniqueId val="{00000006-CCC1-481C-9264-4E0B6DBC8579}"/>
            </c:ext>
          </c:extLst>
        </c:ser>
        <c:ser>
          <c:idx val="5"/>
          <c:order val="5"/>
          <c:tx>
            <c:strRef>
              <c:f>'ODM share analysis'!$Y$16</c:f>
              <c:strCache>
                <c:ptCount val="1"/>
                <c:pt idx="0">
                  <c:v>Super Micro</c:v>
                </c:pt>
              </c:strCache>
            </c:strRef>
          </c:tx>
          <c:spPr>
            <a:solidFill>
              <a:srgbClr val="80ADD2"/>
            </a:solidFill>
            <a:ln w="25400">
              <a:noFill/>
            </a:ln>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analysis'!$Z$16:$AA$16</c:f>
              <c:numCache>
                <c:formatCode>0%</c:formatCode>
                <c:ptCount val="2"/>
                <c:pt idx="0">
                  <c:v>0.13679688023534953</c:v>
                </c:pt>
                <c:pt idx="1">
                  <c:v>0.1109895858100718</c:v>
                </c:pt>
              </c:numCache>
            </c:numRef>
          </c:val>
          <c:extLst>
            <c:ext xmlns:c16="http://schemas.microsoft.com/office/drawing/2014/chart" uri="{C3380CC4-5D6E-409C-BE32-E72D297353CC}">
              <c16:uniqueId val="{00000007-CCC1-481C-9264-4E0B6DBC8579}"/>
            </c:ext>
          </c:extLst>
        </c:ser>
        <c:ser>
          <c:idx val="6"/>
          <c:order val="6"/>
          <c:tx>
            <c:strRef>
              <c:f>'ODM share analysis'!$Y$17</c:f>
              <c:strCache>
                <c:ptCount val="1"/>
                <c:pt idx="0">
                  <c:v>Giga-Byte</c:v>
                </c:pt>
              </c:strCache>
            </c:strRef>
          </c:tx>
          <c:spPr>
            <a:solidFill>
              <a:srgbClr val="96C7BC"/>
            </a:solidFill>
            <a:ln w="25400">
              <a:noFill/>
            </a:ln>
          </c:spPr>
          <c:invertIfNegative val="0"/>
          <c:dLbls>
            <c:dLbl>
              <c:idx val="0"/>
              <c:layout>
                <c:manualLayout>
                  <c:x val="-0.15555555555555556"/>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CCC1-481C-9264-4E0B6DBC8579}"/>
                </c:ext>
              </c:extLst>
            </c:dLbl>
            <c:dLbl>
              <c:idx val="1"/>
              <c:layout>
                <c:manualLayout>
                  <c:x val="-0.15555555555555567"/>
                  <c:y val="-2.1218890680033321E-1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CCC1-481C-9264-4E0B6DBC8579}"/>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analysis'!$Z$17:$AA$17</c:f>
              <c:numCache>
                <c:formatCode>0%</c:formatCode>
                <c:ptCount val="2"/>
                <c:pt idx="0">
                  <c:v>2.6408664138098368E-2</c:v>
                </c:pt>
                <c:pt idx="1">
                  <c:v>3.4809073184649771E-2</c:v>
                </c:pt>
              </c:numCache>
            </c:numRef>
          </c:val>
          <c:extLst>
            <c:ext xmlns:c16="http://schemas.microsoft.com/office/drawing/2014/chart" uri="{C3380CC4-5D6E-409C-BE32-E72D297353CC}">
              <c16:uniqueId val="{0000000A-CCC1-481C-9264-4E0B6DBC8579}"/>
            </c:ext>
          </c:extLst>
        </c:ser>
        <c:ser>
          <c:idx val="7"/>
          <c:order val="7"/>
          <c:tx>
            <c:strRef>
              <c:f>'ODM share analysis'!$Y$19</c:f>
              <c:strCache>
                <c:ptCount val="1"/>
                <c:pt idx="0">
                  <c:v>Inspur</c:v>
                </c:pt>
              </c:strCache>
            </c:strRef>
          </c:tx>
          <c:spPr>
            <a:solidFill>
              <a:srgbClr val="8CD5F2"/>
            </a:solidFill>
            <a:ln w="25400">
              <a:noFill/>
            </a:ln>
          </c:spPr>
          <c:invertIfNegative val="0"/>
          <c:cat>
            <c:numRef>
              <c:f>'ODM share analysis'!$Z$10:$AA$10</c:f>
              <c:numCache>
                <c:formatCode>General</c:formatCode>
                <c:ptCount val="2"/>
                <c:pt idx="0">
                  <c:v>2023</c:v>
                </c:pt>
                <c:pt idx="1">
                  <c:v>2024</c:v>
                </c:pt>
              </c:numCache>
            </c:numRef>
          </c:cat>
          <c:val>
            <c:numRef>
              <c:f>'ODM share analysis'!$Z$19:$AA$19</c:f>
              <c:numCache>
                <c:formatCode>0%</c:formatCode>
                <c:ptCount val="2"/>
                <c:pt idx="0">
                  <c:v>0.12676158786287217</c:v>
                </c:pt>
                <c:pt idx="1">
                  <c:v>9.7008892481810827E-2</c:v>
                </c:pt>
              </c:numCache>
            </c:numRef>
          </c:val>
          <c:extLst>
            <c:ext xmlns:c16="http://schemas.microsoft.com/office/drawing/2014/chart" uri="{C3380CC4-5D6E-409C-BE32-E72D297353CC}">
              <c16:uniqueId val="{0000000B-CCC1-481C-9264-4E0B6DBC8579}"/>
            </c:ext>
          </c:extLst>
        </c:ser>
        <c:ser>
          <c:idx val="8"/>
          <c:order val="8"/>
          <c:tx>
            <c:strRef>
              <c:f>'ODM share analysis'!$Y$20</c:f>
              <c:strCache>
                <c:ptCount val="1"/>
                <c:pt idx="0">
                  <c:v>Asustek</c:v>
                </c:pt>
              </c:strCache>
            </c:strRef>
          </c:tx>
          <c:spPr>
            <a:solidFill>
              <a:srgbClr val="93959B"/>
            </a:solidFill>
            <a:ln w="25400">
              <a:noFill/>
            </a:ln>
          </c:spPr>
          <c:invertIfNegative val="0"/>
          <c:cat>
            <c:numRef>
              <c:f>'ODM share analysis'!$Z$10:$AA$10</c:f>
              <c:numCache>
                <c:formatCode>General</c:formatCode>
                <c:ptCount val="2"/>
                <c:pt idx="0">
                  <c:v>2023</c:v>
                </c:pt>
                <c:pt idx="1">
                  <c:v>2024</c:v>
                </c:pt>
              </c:numCache>
            </c:numRef>
          </c:cat>
          <c:val>
            <c:numRef>
              <c:f>'ODM share analysis'!$Z$20:$AA$20</c:f>
              <c:numCache>
                <c:formatCode>0%</c:formatCode>
                <c:ptCount val="2"/>
                <c:pt idx="0">
                  <c:v>0</c:v>
                </c:pt>
                <c:pt idx="1">
                  <c:v>8.5596081601597793E-3</c:v>
                </c:pt>
              </c:numCache>
            </c:numRef>
          </c:val>
          <c:extLst>
            <c:ext xmlns:c16="http://schemas.microsoft.com/office/drawing/2014/chart" uri="{C3380CC4-5D6E-409C-BE32-E72D297353CC}">
              <c16:uniqueId val="{0000000C-CCC1-481C-9264-4E0B6DBC8579}"/>
            </c:ext>
          </c:extLst>
        </c:ser>
        <c:ser>
          <c:idx val="9"/>
          <c:order val="9"/>
          <c:tx>
            <c:strRef>
              <c:f>'ODM share analysis'!$Y$21</c:f>
              <c:strCache>
                <c:ptCount val="1"/>
                <c:pt idx="0">
                  <c:v>Others</c:v>
                </c:pt>
              </c:strCache>
            </c:strRef>
          </c:tx>
          <c:spPr>
            <a:solidFill>
              <a:srgbClr val="2673B2"/>
            </a:solidFill>
            <a:ln w="25400">
              <a:noFill/>
            </a:ln>
          </c:spPr>
          <c:invertIfNegative val="0"/>
          <c:cat>
            <c:numRef>
              <c:f>'ODM share analysis'!$Z$10:$AA$10</c:f>
              <c:numCache>
                <c:formatCode>General</c:formatCode>
                <c:ptCount val="2"/>
                <c:pt idx="0">
                  <c:v>2023</c:v>
                </c:pt>
                <c:pt idx="1">
                  <c:v>2024</c:v>
                </c:pt>
              </c:numCache>
            </c:numRef>
          </c:cat>
          <c:val>
            <c:numRef>
              <c:f>'ODM share analysis'!$Z$21:$AA$21</c:f>
              <c:numCache>
                <c:formatCode>0%</c:formatCode>
                <c:ptCount val="2"/>
                <c:pt idx="0">
                  <c:v>0.12376052389789605</c:v>
                </c:pt>
                <c:pt idx="1">
                  <c:v>0.24361595891388091</c:v>
                </c:pt>
              </c:numCache>
            </c:numRef>
          </c:val>
          <c:extLst>
            <c:ext xmlns:c16="http://schemas.microsoft.com/office/drawing/2014/chart" uri="{C3380CC4-5D6E-409C-BE32-E72D297353CC}">
              <c16:uniqueId val="{0000000D-CCC1-481C-9264-4E0B6DBC8579}"/>
            </c:ext>
          </c:extLst>
        </c:ser>
        <c:dLbls>
          <c:showLegendKey val="0"/>
          <c:showVal val="0"/>
          <c:showCatName val="0"/>
          <c:showSerName val="0"/>
          <c:showPercent val="0"/>
          <c:showBubbleSize val="0"/>
        </c:dLbls>
        <c:gapWidth val="150"/>
        <c:overlap val="100"/>
        <c:axId val="96813440"/>
        <c:axId val="96814976"/>
      </c:barChart>
      <c:catAx>
        <c:axId val="96813440"/>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814976"/>
        <c:crosses val="autoZero"/>
        <c:auto val="1"/>
        <c:lblAlgn val="ctr"/>
        <c:lblOffset val="100"/>
        <c:noMultiLvlLbl val="0"/>
      </c:catAx>
      <c:valAx>
        <c:axId val="96814976"/>
        <c:scaling>
          <c:orientation val="minMax"/>
        </c:scaling>
        <c:delete val="0"/>
        <c:axPos val="l"/>
        <c:majorGridlines>
          <c:spPr>
            <a:ln w="6350" cap="rnd" cmpd="sng" algn="ctr">
              <a:solidFill>
                <a:srgbClr val="C0C0C0"/>
              </a:solidFill>
              <a:prstDash val="solid"/>
              <a:round/>
              <a:headEnd type="none" w="med" len="med"/>
              <a:tailEnd type="none" w="med" len="med"/>
            </a:ln>
          </c:spPr>
        </c:majorGridlines>
        <c:numFmt formatCode="0%" sourceLinked="1"/>
        <c:majorTickMark val="out"/>
        <c:minorTickMark val="none"/>
        <c:tickLblPos val="nextTo"/>
        <c:spPr>
          <a:ln>
            <a:noFill/>
          </a:ln>
        </c:spPr>
        <c:crossAx val="96813440"/>
        <c:crosses val="autoZero"/>
        <c:crossBetween val="between"/>
      </c:valAx>
      <c:spPr>
        <a:noFill/>
        <a:extLst>
          <a:ext uri="{909E8E84-426E-40DD-AFC4-6F175D3DCCD1}">
            <a14:hiddenFill xmlns:a14="http://schemas.microsoft.com/office/drawing/2010/main">
              <a:solidFill>
                <a:srgbClr val="FFFFFF"/>
              </a:solidFill>
            </a14:hiddenFill>
          </a:ext>
        </a:extLst>
      </c:spPr>
    </c:plotArea>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HGX/DGX AI server demand analysis</a:t>
            </a:r>
          </a:p>
        </c:rich>
      </c:tx>
      <c:layout>
        <c:manualLayout>
          <c:xMode val="edge"/>
          <c:yMode val="edge"/>
          <c:x val="2.6111111111111049E-3"/>
          <c:y val="0"/>
        </c:manualLayout>
      </c:layout>
      <c:overlay val="0"/>
    </c:title>
    <c:autoTitleDeleted val="0"/>
    <c:plotArea>
      <c:layout>
        <c:manualLayout>
          <c:xMode val="edge"/>
          <c:yMode val="edge"/>
          <c:x val="8.5470085470085479E-3"/>
          <c:y val="6.0759493670886074E-2"/>
          <c:w val="0.98290598290598286"/>
          <c:h val="0.93502109704641345"/>
        </c:manualLayout>
      </c:layout>
      <c:barChart>
        <c:barDir val="col"/>
        <c:grouping val="percentStacked"/>
        <c:varyColors val="0"/>
        <c:ser>
          <c:idx val="0"/>
          <c:order val="0"/>
          <c:tx>
            <c:strRef>
              <c:f>'ODM share analysis'!$Y$29</c:f>
              <c:strCache>
                <c:ptCount val="1"/>
                <c:pt idx="0">
                  <c:v>Microsoft</c:v>
                </c:pt>
              </c:strCache>
            </c:strRef>
          </c:tx>
          <c:spPr>
            <a:solidFill>
              <a:srgbClr val="005AA4"/>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analysis'!$Z$29:$AA$29</c:f>
              <c:numCache>
                <c:formatCode>0%</c:formatCode>
                <c:ptCount val="2"/>
                <c:pt idx="0">
                  <c:v>0.17429718331144925</c:v>
                </c:pt>
                <c:pt idx="1">
                  <c:v>0.13314946026915211</c:v>
                </c:pt>
              </c:numCache>
            </c:numRef>
          </c:val>
          <c:extLst>
            <c:ext xmlns:c16="http://schemas.microsoft.com/office/drawing/2014/chart" uri="{C3380CC4-5D6E-409C-BE32-E72D297353CC}">
              <c16:uniqueId val="{00000000-7E7A-4A5B-A7B9-E6D6CB8F05F4}"/>
            </c:ext>
          </c:extLst>
        </c:ser>
        <c:ser>
          <c:idx val="1"/>
          <c:order val="1"/>
          <c:tx>
            <c:strRef>
              <c:f>'ODM share analysis'!$Y$30</c:f>
              <c:strCache>
                <c:ptCount val="1"/>
                <c:pt idx="0">
                  <c:v>Google</c:v>
                </c:pt>
              </c:strCache>
            </c:strRef>
          </c:tx>
          <c:spPr>
            <a:solidFill>
              <a:srgbClr val="D0B86A"/>
            </a:solidFill>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analysis'!$Z$30:$AA$30</c:f>
              <c:numCache>
                <c:formatCode>0%</c:formatCode>
                <c:ptCount val="2"/>
                <c:pt idx="0">
                  <c:v>7.9225992414295107E-2</c:v>
                </c:pt>
                <c:pt idx="1">
                  <c:v>5.7064054401065191E-2</c:v>
                </c:pt>
              </c:numCache>
            </c:numRef>
          </c:val>
          <c:extLst>
            <c:ext xmlns:c16="http://schemas.microsoft.com/office/drawing/2014/chart" uri="{C3380CC4-5D6E-409C-BE32-E72D297353CC}">
              <c16:uniqueId val="{00000001-7E7A-4A5B-A7B9-E6D6CB8F05F4}"/>
            </c:ext>
          </c:extLst>
        </c:ser>
        <c:ser>
          <c:idx val="2"/>
          <c:order val="2"/>
          <c:tx>
            <c:strRef>
              <c:f>'ODM share analysis'!$Y$31</c:f>
              <c:strCache>
                <c:ptCount val="1"/>
                <c:pt idx="0">
                  <c:v>Amazon</c:v>
                </c:pt>
              </c:strCache>
            </c:strRef>
          </c:tx>
          <c:spPr>
            <a:solidFill>
              <a:srgbClr val="226B5A"/>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analysis'!$Z$31:$AA$31</c:f>
              <c:numCache>
                <c:formatCode>0%</c:formatCode>
                <c:ptCount val="2"/>
                <c:pt idx="0">
                  <c:v>5.2817328276196743E-2</c:v>
                </c:pt>
                <c:pt idx="1">
                  <c:v>6.2770459841171716E-2</c:v>
                </c:pt>
              </c:numCache>
            </c:numRef>
          </c:val>
          <c:extLst>
            <c:ext xmlns:c16="http://schemas.microsoft.com/office/drawing/2014/chart" uri="{C3380CC4-5D6E-409C-BE32-E72D297353CC}">
              <c16:uniqueId val="{00000002-7E7A-4A5B-A7B9-E6D6CB8F05F4}"/>
            </c:ext>
          </c:extLst>
        </c:ser>
        <c:ser>
          <c:idx val="3"/>
          <c:order val="3"/>
          <c:tx>
            <c:strRef>
              <c:f>'ODM share analysis'!$Y$32</c:f>
              <c:strCache>
                <c:ptCount val="1"/>
                <c:pt idx="0">
                  <c:v>Meta Platforms</c:v>
                </c:pt>
              </c:strCache>
            </c:strRef>
          </c:tx>
          <c:spPr>
            <a:solidFill>
              <a:srgbClr val="00A1E2"/>
            </a:solidFill>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analysis'!$Z$32:$AA$32</c:f>
              <c:numCache>
                <c:formatCode>0%</c:formatCode>
                <c:ptCount val="2"/>
                <c:pt idx="0">
                  <c:v>0.10563465655239349</c:v>
                </c:pt>
                <c:pt idx="1">
                  <c:v>6.6574730134576057E-2</c:v>
                </c:pt>
              </c:numCache>
            </c:numRef>
          </c:val>
          <c:extLst>
            <c:ext xmlns:c16="http://schemas.microsoft.com/office/drawing/2014/chart" uri="{C3380CC4-5D6E-409C-BE32-E72D297353CC}">
              <c16:uniqueId val="{00000003-7E7A-4A5B-A7B9-E6D6CB8F05F4}"/>
            </c:ext>
          </c:extLst>
        </c:ser>
        <c:ser>
          <c:idx val="4"/>
          <c:order val="4"/>
          <c:tx>
            <c:strRef>
              <c:f>'ODM share analysis'!$Y$33</c:f>
              <c:strCache>
                <c:ptCount val="1"/>
                <c:pt idx="0">
                  <c:v>Dell</c:v>
                </c:pt>
              </c:strCache>
            </c:strRef>
          </c:tx>
          <c:spPr>
            <a:solidFill>
              <a:srgbClr val="EADFBC"/>
            </a:solidFill>
            <a:ln w="25400">
              <a:noFill/>
            </a:ln>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analysis'!$Z$33:$AA$33</c:f>
              <c:numCache>
                <c:formatCode>0%</c:formatCode>
                <c:ptCount val="2"/>
                <c:pt idx="0">
                  <c:v>#N/A</c:v>
                </c:pt>
                <c:pt idx="1">
                  <c:v>6.0868324694469539E-2</c:v>
                </c:pt>
              </c:numCache>
            </c:numRef>
          </c:val>
          <c:extLst>
            <c:ext xmlns:c16="http://schemas.microsoft.com/office/drawing/2014/chart" uri="{C3380CC4-5D6E-409C-BE32-E72D297353CC}">
              <c16:uniqueId val="{00000004-7E7A-4A5B-A7B9-E6D6CB8F05F4}"/>
            </c:ext>
          </c:extLst>
        </c:ser>
        <c:ser>
          <c:idx val="5"/>
          <c:order val="5"/>
          <c:tx>
            <c:strRef>
              <c:f>'ODM share analysis'!$Y$34</c:f>
              <c:strCache>
                <c:ptCount val="1"/>
                <c:pt idx="0">
                  <c:v>Coreweave</c:v>
                </c:pt>
              </c:strCache>
            </c:strRef>
          </c:tx>
          <c:spPr>
            <a:solidFill>
              <a:srgbClr val="80ADD2"/>
            </a:solidFill>
            <a:ln w="25400">
              <a:noFill/>
            </a:ln>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analysis'!$Z$34:$AA$34</c:f>
              <c:numCache>
                <c:formatCode>0%</c:formatCode>
                <c:ptCount val="2"/>
                <c:pt idx="0">
                  <c:v>7.3944259586675443E-2</c:v>
                </c:pt>
                <c:pt idx="1">
                  <c:v>8.559608160159779E-2</c:v>
                </c:pt>
              </c:numCache>
            </c:numRef>
          </c:val>
          <c:extLst>
            <c:ext xmlns:c16="http://schemas.microsoft.com/office/drawing/2014/chart" uri="{C3380CC4-5D6E-409C-BE32-E72D297353CC}">
              <c16:uniqueId val="{00000005-7E7A-4A5B-A7B9-E6D6CB8F05F4}"/>
            </c:ext>
          </c:extLst>
        </c:ser>
        <c:ser>
          <c:idx val="6"/>
          <c:order val="6"/>
          <c:tx>
            <c:strRef>
              <c:f>'ODM share analysis'!$Y$35</c:f>
              <c:strCache>
                <c:ptCount val="1"/>
                <c:pt idx="0">
                  <c:v>Oracle</c:v>
                </c:pt>
              </c:strCache>
            </c:strRef>
          </c:tx>
          <c:spPr>
            <a:solidFill>
              <a:srgbClr val="96C7BC"/>
            </a:solidFill>
            <a:ln w="25400">
              <a:noFill/>
            </a:ln>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analysis'!$Z$35:$AA$35</c:f>
              <c:numCache>
                <c:formatCode>0%</c:formatCode>
                <c:ptCount val="2"/>
                <c:pt idx="0">
                  <c:v>7.9225992414295107E-2</c:v>
                </c:pt>
                <c:pt idx="1">
                  <c:v>3.8042702934043465E-2</c:v>
                </c:pt>
              </c:numCache>
            </c:numRef>
          </c:val>
          <c:extLst>
            <c:ext xmlns:c16="http://schemas.microsoft.com/office/drawing/2014/chart" uri="{C3380CC4-5D6E-409C-BE32-E72D297353CC}">
              <c16:uniqueId val="{00000006-7E7A-4A5B-A7B9-E6D6CB8F05F4}"/>
            </c:ext>
          </c:extLst>
        </c:ser>
        <c:ser>
          <c:idx val="7"/>
          <c:order val="7"/>
          <c:tx>
            <c:strRef>
              <c:f>'ODM share analysis'!$Y$36</c:f>
              <c:strCache>
                <c:ptCount val="1"/>
                <c:pt idx="0">
                  <c:v>BBAT</c:v>
                </c:pt>
              </c:strCache>
            </c:strRef>
          </c:tx>
          <c:spPr>
            <a:solidFill>
              <a:srgbClr val="8CD5F2"/>
            </a:solidFill>
            <a:ln w="25400">
              <a:noFill/>
            </a:ln>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analysis'!$Z$36:$AA$36</c:f>
              <c:numCache>
                <c:formatCode>0%</c:formatCode>
                <c:ptCount val="2"/>
                <c:pt idx="0">
                  <c:v>0.11091638938001316</c:v>
                </c:pt>
                <c:pt idx="1">
                  <c:v>0.20923486613723905</c:v>
                </c:pt>
              </c:numCache>
            </c:numRef>
          </c:val>
          <c:extLst>
            <c:ext xmlns:c16="http://schemas.microsoft.com/office/drawing/2014/chart" uri="{C3380CC4-5D6E-409C-BE32-E72D297353CC}">
              <c16:uniqueId val="{00000007-7E7A-4A5B-A7B9-E6D6CB8F05F4}"/>
            </c:ext>
          </c:extLst>
        </c:ser>
        <c:ser>
          <c:idx val="8"/>
          <c:order val="8"/>
          <c:tx>
            <c:strRef>
              <c:f>'ODM share analysis'!$Y$37</c:f>
              <c:strCache>
                <c:ptCount val="1"/>
                <c:pt idx="0">
                  <c:v>Others</c:v>
                </c:pt>
              </c:strCache>
            </c:strRef>
          </c:tx>
          <c:spPr>
            <a:solidFill>
              <a:srgbClr val="93959B"/>
            </a:solidFill>
            <a:ln w="25400">
              <a:noFill/>
            </a:ln>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numRef>
              <c:f>'ODM share analysis'!$Z$10:$AA$10</c:f>
              <c:numCache>
                <c:formatCode>General</c:formatCode>
                <c:ptCount val="2"/>
                <c:pt idx="0">
                  <c:v>2023</c:v>
                </c:pt>
                <c:pt idx="1">
                  <c:v>2024</c:v>
                </c:pt>
              </c:numCache>
            </c:numRef>
          </c:cat>
          <c:val>
            <c:numRef>
              <c:f>'ODM share analysis'!$Z$37:$AA$37</c:f>
              <c:numCache>
                <c:formatCode>0%</c:formatCode>
                <c:ptCount val="2"/>
                <c:pt idx="0">
                  <c:v>0.30967751943010857</c:v>
                </c:pt>
                <c:pt idx="1">
                  <c:v>0.21089923439060357</c:v>
                </c:pt>
              </c:numCache>
            </c:numRef>
          </c:val>
          <c:extLst>
            <c:ext xmlns:c16="http://schemas.microsoft.com/office/drawing/2014/chart" uri="{C3380CC4-5D6E-409C-BE32-E72D297353CC}">
              <c16:uniqueId val="{00000008-7E7A-4A5B-A7B9-E6D6CB8F05F4}"/>
            </c:ext>
          </c:extLst>
        </c:ser>
        <c:dLbls>
          <c:showLegendKey val="0"/>
          <c:showVal val="0"/>
          <c:showCatName val="0"/>
          <c:showSerName val="0"/>
          <c:showPercent val="0"/>
          <c:showBubbleSize val="0"/>
        </c:dLbls>
        <c:gapWidth val="150"/>
        <c:overlap val="100"/>
        <c:axId val="96813440"/>
        <c:axId val="96814976"/>
      </c:barChart>
      <c:catAx>
        <c:axId val="96813440"/>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814976"/>
        <c:crosses val="autoZero"/>
        <c:auto val="1"/>
        <c:lblAlgn val="ctr"/>
        <c:lblOffset val="100"/>
        <c:noMultiLvlLbl val="0"/>
      </c:catAx>
      <c:valAx>
        <c:axId val="96814976"/>
        <c:scaling>
          <c:orientation val="minMax"/>
        </c:scaling>
        <c:delete val="0"/>
        <c:axPos val="l"/>
        <c:majorGridlines>
          <c:spPr>
            <a:ln w="6350" cap="rnd" cmpd="sng" algn="ctr">
              <a:solidFill>
                <a:srgbClr val="C0C0C0"/>
              </a:solidFill>
              <a:prstDash val="solid"/>
              <a:round/>
              <a:headEnd type="none" w="med" len="med"/>
              <a:tailEnd type="none" w="med" len="med"/>
            </a:ln>
          </c:spPr>
        </c:majorGridlines>
        <c:numFmt formatCode="0%" sourceLinked="1"/>
        <c:majorTickMark val="out"/>
        <c:minorTickMark val="none"/>
        <c:tickLblPos val="nextTo"/>
        <c:spPr>
          <a:ln>
            <a:noFill/>
          </a:ln>
        </c:spPr>
        <c:crossAx val="96813440"/>
        <c:crosses val="autoZero"/>
        <c:crossBetween val="between"/>
      </c:valAx>
      <c:spPr>
        <a:noFill/>
        <a:extLst>
          <a:ext uri="{909E8E84-426E-40DD-AFC4-6F175D3DCCD1}">
            <a14:hiddenFill xmlns:a14="http://schemas.microsoft.com/office/drawing/2010/main">
              <a:solidFill>
                <a:srgbClr val="FFFFFF"/>
              </a:solidFill>
            </a14:hiddenFill>
          </a:ext>
        </a:extLst>
      </c:spPr>
    </c:plotArea>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HGX</a:t>
            </a:r>
            <a:r>
              <a:rPr lang="en-US" sz="900" b="1" baseline="0">
                <a:solidFill>
                  <a:srgbClr val="000000"/>
                </a:solidFill>
              </a:rPr>
              <a:t>/DGX/L40S unit assumptions (k units) and y/y growth (RHS)</a:t>
            </a:r>
            <a:endParaRPr lang="en-US" sz="900" b="1">
              <a:solidFill>
                <a:srgbClr val="000000"/>
              </a:solidFill>
            </a:endParaRPr>
          </a:p>
        </c:rich>
      </c:tx>
      <c:layout>
        <c:manualLayout>
          <c:xMode val="edge"/>
          <c:yMode val="edge"/>
          <c:x val="0"/>
          <c:y val="0"/>
        </c:manualLayout>
      </c:layout>
      <c:overlay val="0"/>
    </c:title>
    <c:autoTitleDeleted val="0"/>
    <c:plotArea>
      <c:layout>
        <c:manualLayout>
          <c:layoutTarget val="inner"/>
          <c:xMode val="edge"/>
          <c:yMode val="edge"/>
          <c:x val="6.6000656167978997E-2"/>
          <c:y val="6.4463035870516189E-2"/>
          <c:w val="0.92545231846019249"/>
          <c:h val="0.76387941090696998"/>
        </c:manualLayout>
      </c:layout>
      <c:barChart>
        <c:barDir val="col"/>
        <c:grouping val="stacked"/>
        <c:varyColors val="0"/>
        <c:ser>
          <c:idx val="0"/>
          <c:order val="0"/>
          <c:tx>
            <c:strRef>
              <c:f>'ODM share analysis'!$B$11</c:f>
              <c:strCache>
                <c:ptCount val="1"/>
                <c:pt idx="0">
                  <c:v>HGX+DGX (8x GPU)</c:v>
                </c:pt>
              </c:strCache>
            </c:strRef>
          </c:tx>
          <c:spPr>
            <a:solidFill>
              <a:srgbClr val="005AA4"/>
            </a:solidFill>
          </c:spPr>
          <c:invertIfNegative val="0"/>
          <c:dLbls>
            <c:dLbl>
              <c:idx val="0"/>
              <c:layout>
                <c:manualLayout>
                  <c:x val="0"/>
                  <c:y val="7.912911927675707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E1-4928-81E4-B69596DA362D}"/>
                </c:ext>
              </c:extLst>
            </c:dLbl>
            <c:dLbl>
              <c:idx val="1"/>
              <c:layout>
                <c:manualLayout>
                  <c:x val="0"/>
                  <c:y val="0.135792869641294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E1-4928-81E4-B69596DA362D}"/>
                </c:ext>
              </c:extLst>
            </c:dLbl>
            <c:dLbl>
              <c:idx val="2"/>
              <c:layout>
                <c:manualLayout>
                  <c:x val="0"/>
                  <c:y val="0.168300160396617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E1-4928-81E4-B69596DA362D}"/>
                </c:ext>
              </c:extLst>
            </c:dLbl>
            <c:spPr>
              <a:noFill/>
              <a:ln>
                <a:noFill/>
              </a:ln>
              <a:effectLst/>
            </c:spPr>
            <c:txPr>
              <a:bodyPr wrap="square" lIns="38100" tIns="19050" rIns="38100" bIns="19050" anchor="ctr">
                <a:spAutoFit/>
              </a:bodyPr>
              <a:lstStyle/>
              <a:p>
                <a:pPr>
                  <a:defRPr b="1">
                    <a:solidFill>
                      <a:schemeClr val="bg1"/>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'ODM share analysis'!$C$10:$F$10</c:f>
              <c:numCache>
                <c:formatCode>General</c:formatCode>
                <c:ptCount val="3"/>
                <c:pt idx="0">
                  <c:v>2023</c:v>
                </c:pt>
                <c:pt idx="1">
                  <c:v>2024</c:v>
                </c:pt>
                <c:pt idx="2">
                  <c:v>2025</c:v>
                </c:pt>
              </c:numCache>
            </c:numRef>
          </c:cat>
          <c:val>
            <c:numRef>
              <c:f>'ODM share analysis'!$C$11:$F$11</c:f>
              <c:numCache>
                <c:formatCode>#,##0</c:formatCode>
                <c:ptCount val="3"/>
                <c:pt idx="0">
                  <c:v>189.33180314814814</c:v>
                </c:pt>
                <c:pt idx="1">
                  <c:v>525.72500000000002</c:v>
                </c:pt>
                <c:pt idx="2">
                  <c:v>161.11250000000001</c:v>
                </c:pt>
              </c:numCache>
            </c:numRef>
          </c:val>
          <c:extLst>
            <c:ext xmlns:c16="http://schemas.microsoft.com/office/drawing/2014/chart" uri="{C3380CC4-5D6E-409C-BE32-E72D297353CC}">
              <c16:uniqueId val="{00000003-C5E1-4928-81E4-B69596DA362D}"/>
            </c:ext>
          </c:extLst>
        </c:ser>
        <c:ser>
          <c:idx val="1"/>
          <c:order val="1"/>
          <c:tx>
            <c:strRef>
              <c:f>'ODM share analysis'!$B$27</c:f>
              <c:strCache>
                <c:ptCount val="1"/>
                <c:pt idx="0">
                  <c:v>Others (L40S, etc)</c:v>
                </c:pt>
              </c:strCache>
            </c:strRef>
          </c:tx>
          <c:spPr>
            <a:solidFill>
              <a:srgbClr val="D0B86A"/>
            </a:solidFill>
          </c:spPr>
          <c:invertIfNegative val="0"/>
          <c:dLbls>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'ODM share analysis'!$C$10:$F$10</c:f>
              <c:numCache>
                <c:formatCode>General</c:formatCode>
                <c:ptCount val="3"/>
                <c:pt idx="0">
                  <c:v>2023</c:v>
                </c:pt>
                <c:pt idx="1">
                  <c:v>2024</c:v>
                </c:pt>
                <c:pt idx="2">
                  <c:v>2025</c:v>
                </c:pt>
              </c:numCache>
            </c:numRef>
          </c:cat>
          <c:val>
            <c:numRef>
              <c:f>'ODM share analysis'!$C$27:$F$27</c:f>
              <c:numCache>
                <c:formatCode>#,##0</c:formatCode>
                <c:ptCount val="3"/>
                <c:pt idx="0">
                  <c:v>66.905950000000018</c:v>
                </c:pt>
                <c:pt idx="1">
                  <c:v>239.5</c:v>
                </c:pt>
                <c:pt idx="2">
                  <c:v>111.625</c:v>
                </c:pt>
              </c:numCache>
            </c:numRef>
          </c:val>
          <c:extLst>
            <c:ext xmlns:c16="http://schemas.microsoft.com/office/drawing/2014/chart" uri="{C3380CC4-5D6E-409C-BE32-E72D297353CC}">
              <c16:uniqueId val="{00000004-C5E1-4928-81E4-B69596DA362D}"/>
            </c:ext>
          </c:extLst>
        </c:ser>
        <c:dLbls>
          <c:showLegendKey val="0"/>
          <c:showVal val="0"/>
          <c:showCatName val="0"/>
          <c:showSerName val="0"/>
          <c:showPercent val="0"/>
          <c:showBubbleSize val="0"/>
        </c:dLbls>
        <c:gapWidth val="150"/>
        <c:overlap val="100"/>
        <c:axId val="96755072"/>
        <c:axId val="96760960"/>
      </c:barChart>
      <c:lineChart>
        <c:grouping val="standard"/>
        <c:varyColors val="0"/>
        <c:ser>
          <c:idx val="2"/>
          <c:order val="2"/>
          <c:tx>
            <c:strRef>
              <c:f>'ODM share analysis'!$B$30</c:f>
              <c:strCache>
                <c:ptCount val="1"/>
                <c:pt idx="0">
                  <c:v>HGX+DGX (8x GPU)</c:v>
                </c:pt>
              </c:strCache>
            </c:strRef>
          </c:tx>
          <c:spPr>
            <a:ln>
              <a:solidFill>
                <a:srgbClr val="137CB1"/>
              </a:solidFill>
            </a:ln>
          </c:spPr>
          <c:marker>
            <c:symbol val="square"/>
            <c:size val="18"/>
            <c:spPr>
              <a:solidFill>
                <a:sysClr val="window" lastClr="FFFFFF"/>
              </a:solidFill>
              <a:ln>
                <a:solidFill>
                  <a:srgbClr val="137CB1"/>
                </a:solidFill>
              </a:ln>
            </c:spPr>
          </c:marker>
          <c:dLbls>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'ODM share analysis'!$D$30:$F$30</c:f>
              <c:numCache>
                <c:formatCode>0%</c:formatCode>
                <c:ptCount val="3"/>
                <c:pt idx="1">
                  <c:v>1.7767389908003532</c:v>
                </c:pt>
                <c:pt idx="2">
                  <c:v>-0.69354225117694612</c:v>
                </c:pt>
              </c:numCache>
            </c:numRef>
          </c:val>
          <c:smooth val="0"/>
          <c:extLst>
            <c:ext xmlns:c16="http://schemas.microsoft.com/office/drawing/2014/chart" uri="{C3380CC4-5D6E-409C-BE32-E72D297353CC}">
              <c16:uniqueId val="{00000005-C5E1-4928-81E4-B69596DA362D}"/>
            </c:ext>
          </c:extLst>
        </c:ser>
        <c:ser>
          <c:idx val="3"/>
          <c:order val="3"/>
          <c:tx>
            <c:strRef>
              <c:f>'ODM share analysis'!$B$45</c:f>
              <c:strCache>
                <c:ptCount val="1"/>
                <c:pt idx="0">
                  <c:v>Others (L40S, etc)</c:v>
                </c:pt>
              </c:strCache>
            </c:strRef>
          </c:tx>
          <c:spPr>
            <a:ln w="19050">
              <a:solidFill>
                <a:srgbClr val="EACC80"/>
              </a:solidFill>
            </a:ln>
          </c:spPr>
          <c:marker>
            <c:symbol val="square"/>
            <c:size val="18"/>
            <c:spPr>
              <a:solidFill>
                <a:sysClr val="window" lastClr="FFFFFF"/>
              </a:solidFill>
              <a:ln>
                <a:solidFill>
                  <a:srgbClr val="EACC80"/>
                </a:solidFill>
              </a:ln>
            </c:spPr>
          </c:marker>
          <c:dLbls>
            <c:spPr>
              <a:noFill/>
              <a:ln>
                <a:noFill/>
              </a:ln>
              <a:effectLst/>
            </c:spPr>
            <c:txPr>
              <a:bodyPr wrap="square" lIns="38100" tIns="19050" rIns="38100" bIns="19050" anchor="ctr">
                <a:spAutoFit/>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'ODM share analysis'!$D$45:$F$45</c:f>
              <c:numCache>
                <c:formatCode>0%</c:formatCode>
                <c:ptCount val="3"/>
                <c:pt idx="1">
                  <c:v>2.5796517350101138</c:v>
                </c:pt>
                <c:pt idx="2">
                  <c:v>-0.53392484342379953</c:v>
                </c:pt>
              </c:numCache>
            </c:numRef>
          </c:val>
          <c:smooth val="0"/>
          <c:extLst>
            <c:ext xmlns:c16="http://schemas.microsoft.com/office/drawing/2014/chart" uri="{C3380CC4-5D6E-409C-BE32-E72D297353CC}">
              <c16:uniqueId val="{00000006-C5E1-4928-81E4-B69596DA362D}"/>
            </c:ext>
          </c:extLst>
        </c:ser>
        <c:dLbls>
          <c:showLegendKey val="0"/>
          <c:showVal val="0"/>
          <c:showCatName val="0"/>
          <c:showSerName val="0"/>
          <c:showPercent val="0"/>
          <c:showBubbleSize val="0"/>
        </c:dLbls>
        <c:marker val="1"/>
        <c:smooth val="0"/>
        <c:axId val="1272009871"/>
        <c:axId val="1272017415"/>
      </c:line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max val="900"/>
          <c:min val="0"/>
        </c:scaling>
        <c:delete val="0"/>
        <c:axPos val="l"/>
        <c:majorGridlines>
          <c:spPr>
            <a:ln w="6350" cap="rnd" cmpd="sng" algn="ctr">
              <a:solidFill>
                <a:srgbClr val="C0C0C0"/>
              </a:solidFill>
              <a:prstDash val="solid"/>
              <a:round/>
              <a:headEnd type="none" w="med" len="med"/>
              <a:tailEnd type="none" w="med" len="med"/>
            </a:ln>
          </c:spPr>
        </c:majorGridlines>
        <c:numFmt formatCode="#,##0" sourceLinked="0"/>
        <c:majorTickMark val="out"/>
        <c:minorTickMark val="none"/>
        <c:tickLblPos val="nextTo"/>
        <c:spPr>
          <a:ln>
            <a:noFill/>
          </a:ln>
        </c:spPr>
        <c:crossAx val="96755072"/>
        <c:crosses val="autoZero"/>
        <c:crossBetween val="between"/>
        <c:majorUnit val="200"/>
      </c:valAx>
      <c:valAx>
        <c:axId val="1272017415"/>
        <c:scaling>
          <c:orientation val="minMax"/>
          <c:max val="1.8"/>
          <c:min val="0"/>
        </c:scaling>
        <c:delete val="0"/>
        <c:axPos val="r"/>
        <c:numFmt formatCode="0%" sourceLinked="0"/>
        <c:majorTickMark val="out"/>
        <c:minorTickMark val="none"/>
        <c:tickLblPos val="nextTo"/>
        <c:spPr>
          <a:noFill/>
          <a:ln w="6350" cap="rnd" cmpd="sng" algn="ctr">
            <a:noFill/>
            <a:prstDash val="solid"/>
            <a:round/>
          </a:ln>
          <a:effectLst/>
          <a:extLst>
            <a:ext uri="{91240B29-F687-4F45-9708-019B960494DF}">
              <a14:hiddenLine xmlns:a14="http://schemas.microsoft.com/office/drawing/2010/main" w="6350" cap="rnd" cmpd="sng" algn="ctr">
                <a:solidFill>
                  <a:srgbClr val="000000">
                    <a:tint val="75000"/>
                    <a:shade val="95000"/>
                    <a:satMod val="105000"/>
                  </a:srgbClr>
                </a:solidFill>
                <a:prstDash val="solid"/>
                <a:round/>
              </a14:hiddenLine>
            </a:ext>
          </a:extLst>
        </c:spPr>
        <c:crossAx val="1272009871"/>
        <c:crosses val="max"/>
        <c:crossBetween val="between"/>
        <c:majorUnit val="0.4"/>
      </c:valAx>
      <c:catAx>
        <c:axId val="1272009871"/>
        <c:scaling>
          <c:orientation val="minMax"/>
        </c:scaling>
        <c:delete val="1"/>
        <c:axPos val="b"/>
        <c:majorTickMark val="out"/>
        <c:minorTickMark val="none"/>
        <c:tickLblPos val="nextTo"/>
        <c:crossAx val="1272017415"/>
        <c:crosses val="autoZero"/>
        <c:auto val="1"/>
        <c:lblAlgn val="ctr"/>
        <c:lblOffset val="100"/>
        <c:noMultiLvlLbl val="0"/>
      </c:catAx>
      <c:spPr>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a:noFill/>
            </a14:hiddenLine>
          </a:ext>
        </a:extLst>
      </c:spPr>
    </c:plotArea>
    <c:legend>
      <c:legendPos val="t"/>
      <c:layout>
        <c:manualLayout>
          <c:xMode val="edge"/>
          <c:yMode val="edge"/>
          <c:x val="6.3888888888888884E-2"/>
          <c:y val="0.92500000000000016"/>
          <c:w val="0.9"/>
          <c:h val="7.1777486147564892E-2"/>
        </c:manualLayout>
      </c:layout>
      <c:overlay val="0"/>
      <c:spPr>
        <a:solidFill>
          <a:srgbClr val="FFFFFF"/>
        </a:solidFill>
        <a:ln>
          <a:noFill/>
        </a:ln>
        <a:effectLst/>
        <a:extLst>
          <a:ext uri="{91240B29-F687-4F45-9708-019B960494DF}">
            <a14:hiddenLine xmlns:a14="http://schemas.microsoft.com/office/drawing/2010/main">
              <a:noFill/>
            </a14:hiddenLine>
          </a:ext>
        </a:extLst>
      </c:spPr>
    </c:legend>
    <c:plotVisOnly val="1"/>
    <c:dispBlanksAs val="gap"/>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GB200/300 server demand share, 2025e</a:t>
            </a:r>
          </a:p>
        </c:rich>
      </c:tx>
      <c:layout>
        <c:manualLayout>
          <c:xMode val="edge"/>
          <c:yMode val="edge"/>
          <c:x val="0"/>
          <c:y val="0"/>
        </c:manualLayout>
      </c:layout>
      <c:overlay val="0"/>
    </c:title>
    <c:autoTitleDeleted val="0"/>
    <c:plotArea>
      <c:layout>
        <c:manualLayout>
          <c:layoutTarget val="inner"/>
          <c:xMode val="edge"/>
          <c:yMode val="edge"/>
          <c:x val="0.29211789151356082"/>
          <c:y val="0.11140018955963837"/>
          <c:w val="0.47131977252843393"/>
          <c:h val="0.78553295421405656"/>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8733-46D7-806E-C466730A5481}"/>
              </c:ext>
            </c:extLst>
          </c:dPt>
          <c:dPt>
            <c:idx val="1"/>
            <c:bubble3D val="0"/>
            <c:spPr>
              <a:solidFill>
                <a:srgbClr val="D0B86A"/>
              </a:solidFill>
            </c:spPr>
            <c:extLst>
              <c:ext xmlns:c16="http://schemas.microsoft.com/office/drawing/2014/chart" uri="{C3380CC4-5D6E-409C-BE32-E72D297353CC}">
                <c16:uniqueId val="{00000002-8733-46D7-806E-C466730A5481}"/>
              </c:ext>
            </c:extLst>
          </c:dPt>
          <c:dPt>
            <c:idx val="2"/>
            <c:bubble3D val="0"/>
            <c:spPr>
              <a:solidFill>
                <a:srgbClr val="226B5A"/>
              </a:solidFill>
            </c:spPr>
            <c:extLst>
              <c:ext xmlns:c16="http://schemas.microsoft.com/office/drawing/2014/chart" uri="{C3380CC4-5D6E-409C-BE32-E72D297353CC}">
                <c16:uniqueId val="{00000004-8733-46D7-806E-C466730A5481}"/>
              </c:ext>
            </c:extLst>
          </c:dPt>
          <c:dPt>
            <c:idx val="3"/>
            <c:bubble3D val="0"/>
            <c:spPr>
              <a:solidFill>
                <a:srgbClr val="00A1E2"/>
              </a:solidFill>
            </c:spPr>
            <c:extLst>
              <c:ext xmlns:c16="http://schemas.microsoft.com/office/drawing/2014/chart" uri="{C3380CC4-5D6E-409C-BE32-E72D297353CC}">
                <c16:uniqueId val="{00000006-8733-46D7-806E-C466730A5481}"/>
              </c:ext>
            </c:extLst>
          </c:dPt>
          <c:dPt>
            <c:idx val="4"/>
            <c:bubble3D val="0"/>
            <c:spPr>
              <a:solidFill>
                <a:srgbClr val="EADFBC"/>
              </a:solidFill>
            </c:spPr>
            <c:extLst>
              <c:ext xmlns:c16="http://schemas.microsoft.com/office/drawing/2014/chart" uri="{C3380CC4-5D6E-409C-BE32-E72D297353CC}">
                <c16:uniqueId val="{00000008-8733-46D7-806E-C466730A5481}"/>
              </c:ext>
            </c:extLst>
          </c:dPt>
          <c:dPt>
            <c:idx val="6"/>
            <c:bubble3D val="0"/>
            <c:spPr>
              <a:solidFill>
                <a:srgbClr val="96C7BC"/>
              </a:solidFill>
            </c:spPr>
            <c:extLst>
              <c:ext xmlns:c16="http://schemas.microsoft.com/office/drawing/2014/chart" uri="{C3380CC4-5D6E-409C-BE32-E72D297353CC}">
                <c16:uniqueId val="{0000000A-8733-46D7-806E-C466730A5481}"/>
              </c:ext>
            </c:extLst>
          </c:dPt>
          <c:dPt>
            <c:idx val="8"/>
            <c:bubble3D val="0"/>
            <c:spPr>
              <a:solidFill>
                <a:srgbClr val="93959B"/>
              </a:solidFill>
            </c:spPr>
            <c:extLst>
              <c:ext xmlns:c16="http://schemas.microsoft.com/office/drawing/2014/chart" uri="{C3380CC4-5D6E-409C-BE32-E72D297353CC}">
                <c16:uniqueId val="{0000000C-8733-46D7-806E-C466730A5481}"/>
              </c:ext>
            </c:extLst>
          </c:dPt>
          <c:dPt>
            <c:idx val="9"/>
            <c:bubble3D val="0"/>
            <c:spPr>
              <a:solidFill>
                <a:srgbClr val="80ADD2"/>
              </a:solidFill>
            </c:spPr>
            <c:extLst>
              <c:ext xmlns:c16="http://schemas.microsoft.com/office/drawing/2014/chart" uri="{C3380CC4-5D6E-409C-BE32-E72D297353CC}">
                <c16:uniqueId val="{0000000E-8733-46D7-806E-C466730A5481}"/>
              </c:ext>
            </c:extLst>
          </c:dPt>
          <c:dPt>
            <c:idx val="10"/>
            <c:bubble3D val="0"/>
            <c:spPr>
              <a:solidFill>
                <a:srgbClr val="E0D19E"/>
              </a:solidFill>
            </c:spPr>
            <c:extLst>
              <c:ext xmlns:c16="http://schemas.microsoft.com/office/drawing/2014/chart" uri="{C3380CC4-5D6E-409C-BE32-E72D297353CC}">
                <c16:uniqueId val="{00000010-8733-46D7-806E-C466730A5481}"/>
              </c:ext>
            </c:extLst>
          </c:dPt>
          <c:dPt>
            <c:idx val="11"/>
            <c:bubble3D val="0"/>
            <c:spPr>
              <a:solidFill>
                <a:srgbClr val="DDAAB6"/>
              </a:solidFill>
            </c:spPr>
            <c:extLst>
              <c:ext xmlns:c16="http://schemas.microsoft.com/office/drawing/2014/chart" uri="{C3380CC4-5D6E-409C-BE32-E72D297353CC}">
                <c16:uniqueId val="{00000012-8733-46D7-806E-C466730A5481}"/>
              </c:ext>
            </c:extLst>
          </c:dPt>
          <c:dPt>
            <c:idx val="12"/>
            <c:bubble3D val="0"/>
            <c:spPr>
              <a:solidFill>
                <a:srgbClr val="7072BB"/>
              </a:solidFill>
            </c:spPr>
            <c:extLst>
              <c:ext xmlns:c16="http://schemas.microsoft.com/office/drawing/2014/chart" uri="{C3380CC4-5D6E-409C-BE32-E72D297353CC}">
                <c16:uniqueId val="{00000014-8733-46D7-806E-C466730A5481}"/>
              </c:ext>
            </c:extLst>
          </c:dPt>
          <c:dPt>
            <c:idx val="13"/>
            <c:bubble3D val="0"/>
            <c:spPr>
              <a:solidFill>
                <a:srgbClr val="32A69F"/>
              </a:solidFill>
            </c:spPr>
            <c:extLst>
              <c:ext xmlns:c16="http://schemas.microsoft.com/office/drawing/2014/chart" uri="{C3380CC4-5D6E-409C-BE32-E72D297353CC}">
                <c16:uniqueId val="{00000016-8733-46D7-806E-C466730A5481}"/>
              </c:ext>
            </c:extLst>
          </c:dPt>
          <c:dPt>
            <c:idx val="14"/>
            <c:bubble3D val="0"/>
            <c:spPr>
              <a:solidFill>
                <a:srgbClr val="B9BABE"/>
              </a:solidFill>
            </c:spPr>
            <c:extLst>
              <c:ext xmlns:c16="http://schemas.microsoft.com/office/drawing/2014/chart" uri="{C3380CC4-5D6E-409C-BE32-E72D297353CC}">
                <c16:uniqueId val="{00000018-8733-46D7-806E-C466730A5481}"/>
              </c:ext>
            </c:extLst>
          </c:dPt>
          <c:dPt>
            <c:idx val="15"/>
            <c:bubble3D val="0"/>
            <c:spPr>
              <a:solidFill>
                <a:srgbClr val="40B9E9"/>
              </a:solidFill>
            </c:spPr>
            <c:extLst>
              <c:ext xmlns:c16="http://schemas.microsoft.com/office/drawing/2014/chart" uri="{C3380CC4-5D6E-409C-BE32-E72D297353CC}">
                <c16:uniqueId val="{0000001A-8733-46D7-806E-C466730A5481}"/>
              </c:ext>
            </c:extLst>
          </c:dPt>
          <c:dPt>
            <c:idx val="16"/>
            <c:bubble3D val="0"/>
            <c:extLst>
              <c:ext xmlns:c16="http://schemas.microsoft.com/office/drawing/2014/chart" uri="{C3380CC4-5D6E-409C-BE32-E72D297353CC}">
                <c16:uniqueId val="{0000001B-8733-46D7-806E-C466730A5481}"/>
              </c:ext>
            </c:extLst>
          </c:dPt>
          <c:dPt>
            <c:idx val="17"/>
            <c:bubble3D val="0"/>
            <c:extLst>
              <c:ext xmlns:c16="http://schemas.microsoft.com/office/drawing/2014/chart" uri="{C3380CC4-5D6E-409C-BE32-E72D297353CC}">
                <c16:uniqueId val="{0000001C-8733-46D7-806E-C466730A5481}"/>
              </c:ext>
            </c:extLst>
          </c:dPt>
          <c:dLbls>
            <c:dLbl>
              <c:idx val="0"/>
              <c:layout>
                <c:manualLayout>
                  <c:x val="-4.0989720034995628E-3"/>
                  <c:y val="3.163786818314377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33-46D7-806E-C466730A5481}"/>
                </c:ext>
              </c:extLst>
            </c:dLbl>
            <c:dLbl>
              <c:idx val="1"/>
              <c:layout>
                <c:manualLayout>
                  <c:x val="-8.3287401574803147E-3"/>
                  <c:y val="-1.398731408574013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33-46D7-806E-C466730A5481}"/>
                </c:ext>
              </c:extLst>
            </c:dLbl>
            <c:dLbl>
              <c:idx val="2"/>
              <c:layout>
                <c:manualLayout>
                  <c:x val="-2.1685695538057742E-2"/>
                  <c:y val="7.4511519393409152E-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33-46D7-806E-C466730A5481}"/>
                </c:ext>
              </c:extLst>
            </c:dLbl>
            <c:dLbl>
              <c:idx val="4"/>
              <c:layout>
                <c:manualLayout>
                  <c:x val="1.0516841644794401E-2"/>
                  <c:y val="-1.18197725284339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33-46D7-806E-C466730A5481}"/>
                </c:ext>
              </c:extLst>
            </c:dLbl>
            <c:dLbl>
              <c:idx val="5"/>
              <c:layout>
                <c:manualLayout>
                  <c:x val="-1.6399825021872266E-3"/>
                  <c:y val="-1.249453193350831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8733-46D7-806E-C466730A5481}"/>
                </c:ext>
              </c:extLst>
            </c:dLbl>
            <c:dLbl>
              <c:idx val="6"/>
              <c:layout>
                <c:manualLayout>
                  <c:x val="1.3854440069991251E-2"/>
                  <c:y val="-2.103346456692913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733-46D7-806E-C466730A5481}"/>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'ODM share analysis'!$Y$183:$Y$192</c:f>
              <c:strCache>
                <c:ptCount val="10"/>
                <c:pt idx="0">
                  <c:v>Microsoft</c:v>
                </c:pt>
                <c:pt idx="1">
                  <c:v>Oracle</c:v>
                </c:pt>
                <c:pt idx="2">
                  <c:v>Google</c:v>
                </c:pt>
                <c:pt idx="3">
                  <c:v>Amazon</c:v>
                </c:pt>
                <c:pt idx="4">
                  <c:v>Meta Platforms</c:v>
                </c:pt>
                <c:pt idx="5">
                  <c:v>Coreweave</c:v>
                </c:pt>
                <c:pt idx="6">
                  <c:v>Tesla/X</c:v>
                </c:pt>
                <c:pt idx="7">
                  <c:v>Nebius</c:v>
                </c:pt>
                <c:pt idx="8">
                  <c:v>MegaSpeed</c:v>
                </c:pt>
                <c:pt idx="9">
                  <c:v>Others</c:v>
                </c:pt>
              </c:strCache>
            </c:strRef>
          </c:cat>
          <c:val>
            <c:numRef>
              <c:f>'ODM share analysis'!$Z$183:$Z$192</c:f>
              <c:numCache>
                <c:formatCode>0%</c:formatCode>
                <c:ptCount val="10"/>
                <c:pt idx="0">
                  <c:v>0.20056712082440004</c:v>
                </c:pt>
                <c:pt idx="1">
                  <c:v>0.2688636835189156</c:v>
                </c:pt>
                <c:pt idx="2">
                  <c:v>6.1449616156027384E-2</c:v>
                </c:pt>
                <c:pt idx="3">
                  <c:v>3.2644027941074759E-2</c:v>
                </c:pt>
                <c:pt idx="4">
                  <c:v>0.10730340964105402</c:v>
                </c:pt>
                <c:pt idx="5">
                  <c:v>8.2993291375613801E-2</c:v>
                </c:pt>
                <c:pt idx="6">
                  <c:v>0.11757382944878622</c:v>
                </c:pt>
                <c:pt idx="7">
                  <c:v>1.4523825990732415E-2</c:v>
                </c:pt>
                <c:pt idx="8">
                  <c:v>5.8786914724393118E-3</c:v>
                </c:pt>
                <c:pt idx="9">
                  <c:v>0.10820250363095629</c:v>
                </c:pt>
              </c:numCache>
            </c:numRef>
          </c:val>
          <c:extLst>
            <c:ext xmlns:c16="http://schemas.microsoft.com/office/drawing/2014/chart" uri="{C3380CC4-5D6E-409C-BE32-E72D297353CC}">
              <c16:uniqueId val="{0000001E-8733-46D7-806E-C466730A5481}"/>
            </c:ext>
          </c:extLst>
        </c:ser>
        <c:dLbls>
          <c:showLegendKey val="0"/>
          <c:showVal val="0"/>
          <c:showCatName val="0"/>
          <c:showSerName val="0"/>
          <c:showPercent val="0"/>
          <c:showBubbleSize val="0"/>
          <c:showLeaderLines val="1"/>
        </c:dLbls>
        <c:firstSliceAng val="0"/>
      </c:pieChart>
      <c:spPr>
        <a:noFill/>
        <a:extLst>
          <a:ext uri="{909E8E84-426E-40DD-AFC4-6F175D3DCCD1}">
            <a14:hiddenFill xmlns:a14="http://schemas.microsoft.com/office/drawing/2010/main">
              <a:noFill/>
            </a14:hiddenFill>
          </a:ext>
        </a:extLst>
      </c:spPr>
    </c:plotArea>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Nvidia GB200 server supply share, 2025e</a:t>
            </a:r>
          </a:p>
        </c:rich>
      </c:tx>
      <c:layout>
        <c:manualLayout>
          <c:xMode val="edge"/>
          <c:yMode val="edge"/>
          <c:x val="2.6111111111111049E-3"/>
          <c:y val="0"/>
        </c:manualLayout>
      </c:layout>
      <c:overlay val="0"/>
    </c:title>
    <c:autoTitleDeleted val="0"/>
    <c:plotArea>
      <c:layout>
        <c:manualLayout>
          <c:layoutTarget val="inner"/>
          <c:xMode val="edge"/>
          <c:yMode val="edge"/>
          <c:x val="0.25600678040244967"/>
          <c:y val="0.16695574511519395"/>
          <c:w val="0.50187532808398949"/>
          <c:h val="0.83304425488480605"/>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DF91-479D-840C-2B6C8E8B6629}"/>
              </c:ext>
            </c:extLst>
          </c:dPt>
          <c:dPt>
            <c:idx val="1"/>
            <c:bubble3D val="0"/>
            <c:spPr>
              <a:solidFill>
                <a:srgbClr val="D0B86A"/>
              </a:solidFill>
            </c:spPr>
            <c:extLst>
              <c:ext xmlns:c16="http://schemas.microsoft.com/office/drawing/2014/chart" uri="{C3380CC4-5D6E-409C-BE32-E72D297353CC}">
                <c16:uniqueId val="{00000002-DF91-479D-840C-2B6C8E8B6629}"/>
              </c:ext>
            </c:extLst>
          </c:dPt>
          <c:dPt>
            <c:idx val="2"/>
            <c:bubble3D val="0"/>
            <c:spPr>
              <a:solidFill>
                <a:srgbClr val="226B5A"/>
              </a:solidFill>
            </c:spPr>
            <c:extLst>
              <c:ext xmlns:c16="http://schemas.microsoft.com/office/drawing/2014/chart" uri="{C3380CC4-5D6E-409C-BE32-E72D297353CC}">
                <c16:uniqueId val="{00000004-DF91-479D-840C-2B6C8E8B6629}"/>
              </c:ext>
            </c:extLst>
          </c:dPt>
          <c:dPt>
            <c:idx val="5"/>
            <c:bubble3D val="0"/>
            <c:spPr>
              <a:solidFill>
                <a:srgbClr val="EADFBC"/>
              </a:solidFill>
            </c:spPr>
            <c:extLst>
              <c:ext xmlns:c16="http://schemas.microsoft.com/office/drawing/2014/chart" uri="{C3380CC4-5D6E-409C-BE32-E72D297353CC}">
                <c16:uniqueId val="{00000006-DF91-479D-840C-2B6C8E8B6629}"/>
              </c:ext>
            </c:extLst>
          </c:dPt>
          <c:dPt>
            <c:idx val="8"/>
            <c:bubble3D val="0"/>
            <c:spPr>
              <a:solidFill>
                <a:srgbClr val="93959B"/>
              </a:solidFill>
            </c:spPr>
            <c:extLst>
              <c:ext xmlns:c16="http://schemas.microsoft.com/office/drawing/2014/chart" uri="{C3380CC4-5D6E-409C-BE32-E72D297353CC}">
                <c16:uniqueId val="{00000008-DF91-479D-840C-2B6C8E8B6629}"/>
              </c:ext>
            </c:extLst>
          </c:dPt>
          <c:dPt>
            <c:idx val="9"/>
            <c:bubble3D val="0"/>
            <c:spPr>
              <a:solidFill>
                <a:srgbClr val="2673B2"/>
              </a:solidFill>
            </c:spPr>
            <c:extLst>
              <c:ext xmlns:c16="http://schemas.microsoft.com/office/drawing/2014/chart" uri="{C3380CC4-5D6E-409C-BE32-E72D297353CC}">
                <c16:uniqueId val="{0000000A-DF91-479D-840C-2B6C8E8B6629}"/>
              </c:ext>
            </c:extLst>
          </c:dPt>
          <c:dPt>
            <c:idx val="10"/>
            <c:bubble3D val="0"/>
            <c:spPr>
              <a:solidFill>
                <a:srgbClr val="E0D19E"/>
              </a:solidFill>
            </c:spPr>
            <c:extLst>
              <c:ext xmlns:c16="http://schemas.microsoft.com/office/drawing/2014/chart" uri="{C3380CC4-5D6E-409C-BE32-E72D297353CC}">
                <c16:uniqueId val="{0000000C-DF91-479D-840C-2B6C8E8B6629}"/>
              </c:ext>
            </c:extLst>
          </c:dPt>
          <c:dPt>
            <c:idx val="11"/>
            <c:bubble3D val="0"/>
            <c:spPr>
              <a:solidFill>
                <a:srgbClr val="DDAAB6"/>
              </a:solidFill>
            </c:spPr>
            <c:extLst>
              <c:ext xmlns:c16="http://schemas.microsoft.com/office/drawing/2014/chart" uri="{C3380CC4-5D6E-409C-BE32-E72D297353CC}">
                <c16:uniqueId val="{0000000E-DF91-479D-840C-2B6C8E8B6629}"/>
              </c:ext>
            </c:extLst>
          </c:dPt>
          <c:dPt>
            <c:idx val="12"/>
            <c:bubble3D val="0"/>
            <c:spPr>
              <a:solidFill>
                <a:srgbClr val="7072BB"/>
              </a:solidFill>
            </c:spPr>
            <c:extLst>
              <c:ext xmlns:c16="http://schemas.microsoft.com/office/drawing/2014/chart" uri="{C3380CC4-5D6E-409C-BE32-E72D297353CC}">
                <c16:uniqueId val="{00000010-DF91-479D-840C-2B6C8E8B6629}"/>
              </c:ext>
            </c:extLst>
          </c:dPt>
          <c:dPt>
            <c:idx val="13"/>
            <c:bubble3D val="0"/>
            <c:spPr>
              <a:solidFill>
                <a:srgbClr val="32A69F"/>
              </a:solidFill>
            </c:spPr>
            <c:extLst>
              <c:ext xmlns:c16="http://schemas.microsoft.com/office/drawing/2014/chart" uri="{C3380CC4-5D6E-409C-BE32-E72D297353CC}">
                <c16:uniqueId val="{00000012-DF91-479D-840C-2B6C8E8B6629}"/>
              </c:ext>
            </c:extLst>
          </c:dPt>
          <c:dPt>
            <c:idx val="14"/>
            <c:bubble3D val="0"/>
            <c:spPr>
              <a:solidFill>
                <a:srgbClr val="B9BABE"/>
              </a:solidFill>
            </c:spPr>
            <c:extLst>
              <c:ext xmlns:c16="http://schemas.microsoft.com/office/drawing/2014/chart" uri="{C3380CC4-5D6E-409C-BE32-E72D297353CC}">
                <c16:uniqueId val="{00000014-DF91-479D-840C-2B6C8E8B6629}"/>
              </c:ext>
            </c:extLst>
          </c:dPt>
          <c:dPt>
            <c:idx val="15"/>
            <c:bubble3D val="0"/>
            <c:spPr>
              <a:solidFill>
                <a:srgbClr val="40B9E9"/>
              </a:solidFill>
            </c:spPr>
            <c:extLst>
              <c:ext xmlns:c16="http://schemas.microsoft.com/office/drawing/2014/chart" uri="{C3380CC4-5D6E-409C-BE32-E72D297353CC}">
                <c16:uniqueId val="{00000016-DF91-479D-840C-2B6C8E8B6629}"/>
              </c:ext>
            </c:extLst>
          </c:dPt>
          <c:dPt>
            <c:idx val="16"/>
            <c:bubble3D val="0"/>
            <c:extLst>
              <c:ext xmlns:c16="http://schemas.microsoft.com/office/drawing/2014/chart" uri="{C3380CC4-5D6E-409C-BE32-E72D297353CC}">
                <c16:uniqueId val="{00000017-DF91-479D-840C-2B6C8E8B6629}"/>
              </c:ext>
            </c:extLst>
          </c:dPt>
          <c:dPt>
            <c:idx val="17"/>
            <c:bubble3D val="0"/>
            <c:extLst>
              <c:ext xmlns:c16="http://schemas.microsoft.com/office/drawing/2014/chart" uri="{C3380CC4-5D6E-409C-BE32-E72D297353CC}">
                <c16:uniqueId val="{00000018-DF91-479D-840C-2B6C8E8B6629}"/>
              </c:ext>
            </c:extLst>
          </c:dPt>
          <c:dLbls>
            <c:dLbl>
              <c:idx val="2"/>
              <c:layout>
                <c:manualLayout>
                  <c:x val="-2.7777777777777828E-2"/>
                  <c:y val="6.018518518518516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F91-479D-840C-2B6C8E8B6629}"/>
                </c:ext>
              </c:extLst>
            </c:dLbl>
            <c:dLbl>
              <c:idx val="3"/>
              <c:layout>
                <c:manualLayout>
                  <c:x val="8.3333333333332829E-3"/>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DF91-479D-840C-2B6C8E8B6629}"/>
                </c:ext>
              </c:extLst>
            </c:dLbl>
            <c:dLbl>
              <c:idx val="4"/>
              <c:layout>
                <c:manualLayout>
                  <c:x val="2.5000000000000001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A-DF91-479D-840C-2B6C8E8B6629}"/>
                </c:ext>
              </c:extLst>
            </c:dLbl>
            <c:dLbl>
              <c:idx val="5"/>
              <c:layout>
                <c:manualLayout>
                  <c:x val="1.6666666666666718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F91-479D-840C-2B6C8E8B6629}"/>
                </c:ext>
              </c:extLst>
            </c:dLbl>
            <c:spPr>
              <a:noFill/>
              <a:ln>
                <a:no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'ODM share analysis'!$Y$170:$Y$175</c:f>
              <c:strCache>
                <c:ptCount val="6"/>
                <c:pt idx="0">
                  <c:v>Quanta</c:v>
                </c:pt>
                <c:pt idx="1">
                  <c:v>FII/HH</c:v>
                </c:pt>
                <c:pt idx="2">
                  <c:v>Wistron</c:v>
                </c:pt>
                <c:pt idx="3">
                  <c:v>Wiwynn</c:v>
                </c:pt>
                <c:pt idx="4">
                  <c:v>SMCI</c:v>
                </c:pt>
                <c:pt idx="5">
                  <c:v>Others</c:v>
                </c:pt>
              </c:strCache>
            </c:strRef>
          </c:cat>
          <c:val>
            <c:numRef>
              <c:f>'ODM share analysis'!$Z$170:$Z$175</c:f>
              <c:numCache>
                <c:formatCode>0%</c:formatCode>
                <c:ptCount val="6"/>
                <c:pt idx="0">
                  <c:v>0.21177121516010788</c:v>
                </c:pt>
                <c:pt idx="1">
                  <c:v>0.50833390967563452</c:v>
                </c:pt>
                <c:pt idx="2">
                  <c:v>0.19797358046891206</c:v>
                </c:pt>
                <c:pt idx="3">
                  <c:v>1.9883809392074136E-2</c:v>
                </c:pt>
                <c:pt idx="4">
                  <c:v>2.8356041220001384E-2</c:v>
                </c:pt>
                <c:pt idx="5">
                  <c:v>3.3681444083270118E-2</c:v>
                </c:pt>
              </c:numCache>
            </c:numRef>
          </c:val>
          <c:extLst>
            <c:ext xmlns:c16="http://schemas.microsoft.com/office/drawing/2014/chart" uri="{C3380CC4-5D6E-409C-BE32-E72D297353CC}">
              <c16:uniqueId val="{0000001B-DF91-479D-840C-2B6C8E8B6629}"/>
            </c:ext>
          </c:extLst>
        </c:ser>
        <c:dLbls>
          <c:showLegendKey val="0"/>
          <c:showVal val="0"/>
          <c:showCatName val="0"/>
          <c:showSerName val="0"/>
          <c:showPercent val="0"/>
          <c:showBubbleSize val="0"/>
          <c:showLeaderLines val="0"/>
        </c:dLbls>
        <c:firstSliceAng val="0"/>
      </c:pieChart>
      <c:spPr>
        <a:noFill/>
        <a:extLst>
          <a:ext uri="{909E8E84-426E-40DD-AFC4-6F175D3DCCD1}">
            <a14:hiddenFill xmlns:a14="http://schemas.microsoft.com/office/drawing/2010/main">
              <a:noFill/>
            </a14:hiddenFill>
          </a:ext>
        </a:extLst>
      </c:spPr>
    </c:plotArea>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900" b="1">
                <a:solidFill>
                  <a:srgbClr val="000000"/>
                </a:solidFill>
              </a:defRPr>
            </a:pPr>
            <a:r>
              <a:rPr lang="en-US" sz="900" b="1">
                <a:solidFill>
                  <a:srgbClr val="000000"/>
                </a:solidFill>
              </a:rPr>
              <a:t>Estimated GB200/300 Capex Spend vs Total Capex Forecast (US$B)</a:t>
            </a:r>
          </a:p>
        </c:rich>
      </c:tx>
      <c:layout>
        <c:manualLayout>
          <c:xMode val="edge"/>
          <c:yMode val="edge"/>
          <c:x val="2.6111111111111049E-3"/>
          <c:y val="0"/>
        </c:manualLayout>
      </c:layout>
      <c:overlay val="0"/>
    </c:title>
    <c:autoTitleDeleted val="0"/>
    <c:plotArea>
      <c:layout>
        <c:manualLayout>
          <c:xMode val="edge"/>
          <c:yMode val="edge"/>
          <c:x val="8.5470085470085479E-3"/>
          <c:y val="6.0759493670886074E-2"/>
          <c:w val="0.98290598290598286"/>
          <c:h val="0.93502109704641345"/>
        </c:manualLayout>
      </c:layout>
      <c:barChart>
        <c:barDir val="col"/>
        <c:grouping val="clustered"/>
        <c:varyColors val="0"/>
        <c:ser>
          <c:idx val="0"/>
          <c:order val="0"/>
          <c:spPr>
            <a:solidFill>
              <a:srgbClr val="005AA4"/>
            </a:solidFill>
          </c:spPr>
          <c:invertIfNegative val="0"/>
          <c:cat>
            <c:strLit>
              <c:ptCount val="5"/>
              <c:pt idx="0">
                <c:v>Microsoft</c:v>
              </c:pt>
              <c:pt idx="1">
                <c:v>Oracle</c:v>
              </c:pt>
              <c:pt idx="2">
                <c:v>Google</c:v>
              </c:pt>
              <c:pt idx="3">
                <c:v>Amazon</c:v>
              </c:pt>
              <c:pt idx="4">
                <c:v>Meta Platforms</c:v>
              </c:pt>
            </c:strLit>
          </c:cat>
          <c:val>
            <c:numRef>
              <c:f>{}</c:f>
            </c:numRef>
          </c:val>
          <c:extLst>
            <c:ext xmlns:c16="http://schemas.microsoft.com/office/drawing/2014/chart" uri="{C3380CC4-5D6E-409C-BE32-E72D297353CC}">
              <c16:uniqueId val="{00000000-1C6C-46E5-99AF-8BB4A418A78D}"/>
            </c:ext>
          </c:extLst>
        </c:ser>
        <c:ser>
          <c:idx val="1"/>
          <c:order val="1"/>
          <c:tx>
            <c:v>Estimated GB200 Capex Spend</c:v>
          </c:tx>
          <c:spPr>
            <a:solidFill>
              <a:srgbClr val="D0B86A"/>
            </a:solidFill>
          </c:spPr>
          <c:invertIfNegative val="0"/>
          <c:dLbls>
            <c:dLbl>
              <c:idx val="0"/>
              <c:tx>
                <c:rich>
                  <a:bodyPr/>
                  <a:lstStyle/>
                  <a:p>
                    <a:fld id="{A3696AC8-64D0-4F47-8408-581E72E5588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C-46E5-99AF-8BB4A418A78D}"/>
                </c:ext>
              </c:extLst>
            </c:dLbl>
            <c:dLbl>
              <c:idx val="1"/>
              <c:tx>
                <c:rich>
                  <a:bodyPr/>
                  <a:lstStyle/>
                  <a:p>
                    <a:fld id="{679F6D04-1329-45D9-A518-D8C26F6640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C-46E5-99AF-8BB4A418A78D}"/>
                </c:ext>
              </c:extLst>
            </c:dLbl>
            <c:dLbl>
              <c:idx val="2"/>
              <c:tx>
                <c:rich>
                  <a:bodyPr/>
                  <a:lstStyle/>
                  <a:p>
                    <a:fld id="{EA43351D-D3ED-4909-8ABD-0735F0FC47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C-46E5-99AF-8BB4A418A78D}"/>
                </c:ext>
              </c:extLst>
            </c:dLbl>
            <c:dLbl>
              <c:idx val="3"/>
              <c:tx>
                <c:rich>
                  <a:bodyPr/>
                  <a:lstStyle/>
                  <a:p>
                    <a:fld id="{FAEC85ED-DDF5-45C6-A888-AA35F48865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C-46E5-99AF-8BB4A418A78D}"/>
                </c:ext>
              </c:extLst>
            </c:dLbl>
            <c:dLbl>
              <c:idx val="4"/>
              <c:tx>
                <c:rich>
                  <a:bodyPr/>
                  <a:lstStyle/>
                  <a:p>
                    <a:fld id="{540F693B-A0D5-4DED-B9B0-CE3AE92A92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C-46E5-99AF-8BB4A418A78D}"/>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'ODM share analysis'!$B$260:$B$264</c:f>
              <c:strCache>
                <c:ptCount val="5"/>
                <c:pt idx="0">
                  <c:v>Microsoft</c:v>
                </c:pt>
                <c:pt idx="1">
                  <c:v>Oracle</c:v>
                </c:pt>
                <c:pt idx="2">
                  <c:v>Google</c:v>
                </c:pt>
                <c:pt idx="3">
                  <c:v>Amazon</c:v>
                </c:pt>
                <c:pt idx="4">
                  <c:v>Meta Platforms</c:v>
                </c:pt>
              </c:strCache>
            </c:strRef>
          </c:cat>
          <c:val>
            <c:numRef>
              <c:f>'ODM share analysis'!$E$254:$E$258</c:f>
              <c:numCache>
                <c:formatCode>0.0</c:formatCode>
                <c:ptCount val="5"/>
                <c:pt idx="0">
                  <c:v>19.139999999999997</c:v>
                </c:pt>
                <c:pt idx="1">
                  <c:v>25.657499999999999</c:v>
                </c:pt>
                <c:pt idx="2">
                  <c:v>5.8640999999999996</c:v>
                </c:pt>
                <c:pt idx="3">
                  <c:v>3.1151999999999997</c:v>
                </c:pt>
                <c:pt idx="4">
                  <c:v>10.2399</c:v>
                </c:pt>
              </c:numCache>
            </c:numRef>
          </c:val>
          <c:extLst>
            <c:ext xmlns:c15="http://schemas.microsoft.com/office/drawing/2012/chart" uri="{02D57815-91ED-43cb-92C2-25804820EDAC}">
              <c15:datalabelsRange>
                <c15:f>'ODM share analysis'!$I$251:$I$255</c15:f>
                <c15:dlblRangeCache>
                  <c:ptCount val="5"/>
                  <c:pt idx="0">
                    <c:v>21%</c:v>
                  </c:pt>
                  <c:pt idx="1">
                    <c:v>142%</c:v>
                  </c:pt>
                  <c:pt idx="2">
                    <c:v>8%</c:v>
                  </c:pt>
                  <c:pt idx="3">
                    <c:v>3%</c:v>
                  </c:pt>
                  <c:pt idx="4">
                    <c:v>16%</c:v>
                  </c:pt>
                </c15:dlblRangeCache>
              </c15:datalabelsRange>
            </c:ext>
            <c:ext xmlns:c16="http://schemas.microsoft.com/office/drawing/2014/chart" uri="{C3380CC4-5D6E-409C-BE32-E72D297353CC}">
              <c16:uniqueId val="{00000006-1C6C-46E5-99AF-8BB4A418A78D}"/>
            </c:ext>
          </c:extLst>
        </c:ser>
        <c:ser>
          <c:idx val="2"/>
          <c:order val="2"/>
          <c:tx>
            <c:v>MS Capex Forecast</c:v>
          </c:tx>
          <c:spPr>
            <a:solidFill>
              <a:srgbClr val="005AA4"/>
            </a:solidFill>
          </c:spPr>
          <c:invertIfNegative val="0"/>
          <c:cat>
            <c:strRef>
              <c:f>'ODM share analysis'!$B$260:$B$264</c:f>
              <c:strCache>
                <c:ptCount val="5"/>
                <c:pt idx="0">
                  <c:v>Microsoft</c:v>
                </c:pt>
                <c:pt idx="1">
                  <c:v>Oracle</c:v>
                </c:pt>
                <c:pt idx="2">
                  <c:v>Google</c:v>
                </c:pt>
                <c:pt idx="3">
                  <c:v>Amazon</c:v>
                </c:pt>
                <c:pt idx="4">
                  <c:v>Meta Platforms</c:v>
                </c:pt>
              </c:strCache>
            </c:strRef>
          </c:cat>
          <c:val>
            <c:numRef>
              <c:f>'ODM share analysis'!$G$254:$G$258</c:f>
              <c:numCache>
                <c:formatCode>0.0</c:formatCode>
                <c:ptCount val="5"/>
                <c:pt idx="0">
                  <c:v>92.498000000000005</c:v>
                </c:pt>
                <c:pt idx="1">
                  <c:v>18.100000000000001</c:v>
                </c:pt>
                <c:pt idx="2">
                  <c:v>75.119</c:v>
                </c:pt>
                <c:pt idx="3">
                  <c:v>109.82599999999999</c:v>
                </c:pt>
                <c:pt idx="4">
                  <c:v>65.046999999999997</c:v>
                </c:pt>
              </c:numCache>
            </c:numRef>
          </c:val>
          <c:extLst>
            <c:ext xmlns:c16="http://schemas.microsoft.com/office/drawing/2014/chart" uri="{C3380CC4-5D6E-409C-BE32-E72D297353CC}">
              <c16:uniqueId val="{00000007-1C6C-46E5-99AF-8BB4A418A78D}"/>
            </c:ext>
          </c:extLst>
        </c:ser>
        <c:dLbls>
          <c:showLegendKey val="0"/>
          <c:showVal val="0"/>
          <c:showCatName val="0"/>
          <c:showSerName val="0"/>
          <c:showPercent val="0"/>
          <c:showBubbleSize val="0"/>
        </c:dLbls>
        <c:gapWidth val="150"/>
        <c:axId val="233332096"/>
        <c:axId val="253618432"/>
      </c:barChart>
      <c:catAx>
        <c:axId val="233332096"/>
        <c:scaling>
          <c:orientation val="minMax"/>
        </c:scaling>
        <c:delete val="0"/>
        <c:axPos val="b"/>
        <c:numFmt formatCode="General" sourceLinked="0"/>
        <c:majorTickMark val="none"/>
        <c:minorTickMark val="none"/>
        <c:tickLblPos val="nextTo"/>
        <c:spPr>
          <a:ln w="15875">
            <a:solidFill>
              <a:srgbClr val="808080"/>
            </a:solidFill>
          </a:ln>
        </c:spPr>
        <c:crossAx val="253618432"/>
        <c:crosses val="autoZero"/>
        <c:auto val="1"/>
        <c:lblAlgn val="ctr"/>
        <c:lblOffset val="100"/>
        <c:noMultiLvlLbl val="0"/>
      </c:catAx>
      <c:valAx>
        <c:axId val="253618432"/>
        <c:scaling>
          <c:orientation val="minMax"/>
        </c:scaling>
        <c:delete val="0"/>
        <c:axPos val="l"/>
        <c:majorGridlines>
          <c:spPr>
            <a:ln>
              <a:solidFill>
                <a:srgbClr val="C0C0C0"/>
              </a:solidFill>
            </a:ln>
          </c:spPr>
        </c:majorGridlines>
        <c:numFmt formatCode="0.0" sourceLinked="1"/>
        <c:majorTickMark val="out"/>
        <c:minorTickMark val="none"/>
        <c:tickLblPos val="nextTo"/>
        <c:spPr>
          <a:ln>
            <a:noFill/>
          </a:ln>
        </c:spPr>
        <c:crossAx val="233332096"/>
        <c:crosses val="autoZero"/>
        <c:crossBetween val="between"/>
      </c:valAx>
      <c:spPr>
        <a:noFill/>
        <a:extLst>
          <a:ext uri="{909E8E84-426E-40DD-AFC4-6F175D3DCCD1}">
            <a14:hiddenFill xmlns:a14="http://schemas.microsoft.com/office/drawing/2010/main">
              <a:solidFill>
                <a:srgbClr val="FFFFFF"/>
              </a:solidFill>
            </a14:hiddenFill>
          </a:ext>
        </a:extLst>
      </c:spPr>
    </c:plotArea>
    <c:legend>
      <c:legendPos val="t"/>
      <c:layout>
        <c:manualLayout>
          <c:xMode val="edge"/>
          <c:yMode val="edge"/>
          <c:x val="0.43454943132108481"/>
          <c:y val="9.1666666666666674E-2"/>
          <c:w val="0.52256780402449687"/>
          <c:h val="7.1777486147564892E-2"/>
        </c:manualLayout>
      </c:layout>
      <c:overlay val="0"/>
      <c:spPr>
        <a:solidFill>
          <a:srgbClr val="FFFFFF"/>
        </a:solidFill>
      </c:spPr>
    </c:legend>
    <c:plotVisOnly val="1"/>
    <c:dispBlanksAs val="zero"/>
    <c:showDLblsOverMax val="0"/>
  </c:chart>
  <c:spPr>
    <a:solidFill>
      <a:srgbClr val="FFFFFF"/>
    </a:solidFill>
    <a:ln>
      <a:noFill/>
    </a:ln>
  </c:spPr>
  <c:txPr>
    <a:bodyPr/>
    <a:lstStyle/>
    <a:p>
      <a:pPr>
        <a:defRPr sz="8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1.7094017094017096E-2"/>
          <c:y val="8.0337552742616031E-2"/>
          <c:w val="0.98290598290598286"/>
          <c:h val="0.85400843881856536"/>
        </c:manualLayout>
      </c:layout>
      <c:barChart>
        <c:barDir val="col"/>
        <c:grouping val="clustered"/>
        <c:varyColors val="0"/>
        <c:ser>
          <c:idx val="0"/>
          <c:order val="0"/>
          <c:tx>
            <c:strRef>
              <c:f>'ODM share analysis'!$I$190</c:f>
              <c:strCache>
                <c:ptCount val="1"/>
                <c:pt idx="0">
                  <c:v>GB racks (NVL72)</c:v>
                </c:pt>
              </c:strCache>
            </c:strRef>
          </c:tx>
          <c:spPr>
            <a:solidFill>
              <a:srgbClr val="005AA4"/>
            </a:solidFill>
          </c:spPr>
          <c:invertIfNegative val="0"/>
          <c:cat>
            <c:strRef>
              <c:f>'ODM share analysis'!$J$189:$M$189</c:f>
              <c:strCache>
                <c:ptCount val="4"/>
                <c:pt idx="0">
                  <c:v>1Q25</c:v>
                </c:pt>
                <c:pt idx="1">
                  <c:v>2Q25</c:v>
                </c:pt>
                <c:pt idx="2">
                  <c:v>3Q25</c:v>
                </c:pt>
                <c:pt idx="3">
                  <c:v>4Q25</c:v>
                </c:pt>
              </c:strCache>
            </c:strRef>
          </c:cat>
          <c:val>
            <c:numRef>
              <c:f>'ODM share analysis'!$J$190:$M$190</c:f>
              <c:numCache>
                <c:formatCode>#,##0</c:formatCode>
                <c:ptCount val="4"/>
                <c:pt idx="0">
                  <c:v>908</c:v>
                </c:pt>
                <c:pt idx="1">
                  <c:v>4296</c:v>
                </c:pt>
                <c:pt idx="2">
                  <c:v>8264</c:v>
                </c:pt>
                <c:pt idx="3">
                  <c:v>15450</c:v>
                </c:pt>
              </c:numCache>
            </c:numRef>
          </c:val>
          <c:extLst>
            <c:ext xmlns:c16="http://schemas.microsoft.com/office/drawing/2014/chart" uri="{C3380CC4-5D6E-409C-BE32-E72D297353CC}">
              <c16:uniqueId val="{00000000-16DB-42EF-BC66-EABDBF2F26FC}"/>
            </c:ext>
          </c:extLst>
        </c:ser>
        <c:dLbls>
          <c:showLegendKey val="0"/>
          <c:showVal val="0"/>
          <c:showCatName val="0"/>
          <c:showSerName val="0"/>
          <c:showPercent val="0"/>
          <c:showBubbleSize val="0"/>
        </c:dLbls>
        <c:gapWidth val="150"/>
        <c:axId val="233332096"/>
        <c:axId val="253618432"/>
      </c:barChart>
      <c:catAx>
        <c:axId val="233332096"/>
        <c:scaling>
          <c:orientation val="minMax"/>
        </c:scaling>
        <c:delete val="0"/>
        <c:axPos val="b"/>
        <c:numFmt formatCode="General" sourceLinked="0"/>
        <c:majorTickMark val="none"/>
        <c:minorTickMark val="none"/>
        <c:tickLblPos val="nextTo"/>
        <c:spPr>
          <a:ln w="15875">
            <a:solidFill>
              <a:srgbClr val="808080"/>
            </a:solidFill>
          </a:ln>
        </c:spPr>
        <c:crossAx val="253618432"/>
        <c:crosses val="autoZero"/>
        <c:auto val="1"/>
        <c:lblAlgn val="ctr"/>
        <c:lblOffset val="100"/>
        <c:noMultiLvlLbl val="0"/>
      </c:catAx>
      <c:valAx>
        <c:axId val="253618432"/>
        <c:scaling>
          <c:orientation val="minMax"/>
        </c:scaling>
        <c:delete val="1"/>
        <c:axPos val="l"/>
        <c:numFmt formatCode="#,##0" sourceLinked="1"/>
        <c:majorTickMark val="out"/>
        <c:minorTickMark val="none"/>
        <c:tickLblPos val="nextTo"/>
        <c:crossAx val="233332096"/>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Nvidia GB200/300 server demand share, 2026e</a:t>
            </a:r>
          </a:p>
        </c:rich>
      </c:tx>
      <c:layout>
        <c:manualLayout>
          <c:xMode val="edge"/>
          <c:yMode val="edge"/>
          <c:x val="6.9444444444444447E-4"/>
          <c:y val="0"/>
        </c:manualLayout>
      </c:layout>
      <c:overlay val="0"/>
    </c:title>
    <c:autoTitleDeleted val="0"/>
    <c:plotArea>
      <c:layout>
        <c:manualLayout>
          <c:layoutTarget val="inner"/>
          <c:xMode val="edge"/>
          <c:yMode val="edge"/>
          <c:x val="0.19781233595800524"/>
          <c:y val="9.8668708078156891E-2"/>
          <c:w val="0.57381977252843397"/>
          <c:h val="0.90133129192184314"/>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D972-4FFA-AA6F-539963C9E53A}"/>
              </c:ext>
            </c:extLst>
          </c:dPt>
          <c:dPt>
            <c:idx val="1"/>
            <c:bubble3D val="0"/>
            <c:spPr>
              <a:solidFill>
                <a:srgbClr val="EADFBC"/>
              </a:solidFill>
            </c:spPr>
            <c:extLst>
              <c:ext xmlns:c16="http://schemas.microsoft.com/office/drawing/2014/chart" uri="{C3380CC4-5D6E-409C-BE32-E72D297353CC}">
                <c16:uniqueId val="{00000002-D972-4FFA-AA6F-539963C9E53A}"/>
              </c:ext>
            </c:extLst>
          </c:dPt>
          <c:dPt>
            <c:idx val="2"/>
            <c:bubble3D val="0"/>
            <c:spPr>
              <a:solidFill>
                <a:srgbClr val="226B5A"/>
              </a:solidFill>
            </c:spPr>
            <c:extLst>
              <c:ext xmlns:c16="http://schemas.microsoft.com/office/drawing/2014/chart" uri="{C3380CC4-5D6E-409C-BE32-E72D297353CC}">
                <c16:uniqueId val="{00000004-D972-4FFA-AA6F-539963C9E53A}"/>
              </c:ext>
            </c:extLst>
          </c:dPt>
          <c:dPt>
            <c:idx val="3"/>
            <c:bubble3D val="0"/>
            <c:spPr>
              <a:solidFill>
                <a:srgbClr val="8CD5F2"/>
              </a:solidFill>
            </c:spPr>
            <c:extLst>
              <c:ext xmlns:c16="http://schemas.microsoft.com/office/drawing/2014/chart" uri="{C3380CC4-5D6E-409C-BE32-E72D297353CC}">
                <c16:uniqueId val="{00000006-D972-4FFA-AA6F-539963C9E53A}"/>
              </c:ext>
            </c:extLst>
          </c:dPt>
          <c:dPt>
            <c:idx val="4"/>
            <c:bubble3D val="0"/>
            <c:spPr>
              <a:solidFill>
                <a:srgbClr val="D0B86A"/>
              </a:solidFill>
            </c:spPr>
            <c:extLst>
              <c:ext xmlns:c16="http://schemas.microsoft.com/office/drawing/2014/chart" uri="{C3380CC4-5D6E-409C-BE32-E72D297353CC}">
                <c16:uniqueId val="{00000008-D972-4FFA-AA6F-539963C9E53A}"/>
              </c:ext>
            </c:extLst>
          </c:dPt>
          <c:dPt>
            <c:idx val="5"/>
            <c:bubble3D val="0"/>
            <c:spPr>
              <a:solidFill>
                <a:srgbClr val="93DECC"/>
              </a:solidFill>
            </c:spPr>
            <c:extLst>
              <c:ext xmlns:c16="http://schemas.microsoft.com/office/drawing/2014/chart" uri="{C3380CC4-5D6E-409C-BE32-E72D297353CC}">
                <c16:uniqueId val="{0000000A-D972-4FFA-AA6F-539963C9E53A}"/>
              </c:ext>
            </c:extLst>
          </c:dPt>
          <c:dPt>
            <c:idx val="6"/>
            <c:bubble3D val="0"/>
            <c:spPr>
              <a:solidFill>
                <a:srgbClr val="6769E2"/>
              </a:solidFill>
            </c:spPr>
            <c:extLst>
              <c:ext xmlns:c16="http://schemas.microsoft.com/office/drawing/2014/chart" uri="{C3380CC4-5D6E-409C-BE32-E72D297353CC}">
                <c16:uniqueId val="{0000000C-D972-4FFA-AA6F-539963C9E53A}"/>
              </c:ext>
            </c:extLst>
          </c:dPt>
          <c:dPt>
            <c:idx val="8"/>
            <c:bubble3D val="0"/>
            <c:spPr>
              <a:solidFill>
                <a:srgbClr val="2673B2"/>
              </a:solidFill>
            </c:spPr>
            <c:extLst>
              <c:ext xmlns:c16="http://schemas.microsoft.com/office/drawing/2014/chart" uri="{C3380CC4-5D6E-409C-BE32-E72D297353CC}">
                <c16:uniqueId val="{0000000E-D972-4FFA-AA6F-539963C9E53A}"/>
              </c:ext>
            </c:extLst>
          </c:dPt>
          <c:dPt>
            <c:idx val="9"/>
            <c:bubble3D val="0"/>
            <c:spPr>
              <a:solidFill>
                <a:srgbClr val="F6F1E1"/>
              </a:solidFill>
            </c:spPr>
            <c:extLst>
              <c:ext xmlns:c16="http://schemas.microsoft.com/office/drawing/2014/chart" uri="{C3380CC4-5D6E-409C-BE32-E72D297353CC}">
                <c16:uniqueId val="{00000010-D972-4FFA-AA6F-539963C9E53A}"/>
              </c:ext>
            </c:extLst>
          </c:dPt>
          <c:dPt>
            <c:idx val="10"/>
            <c:bubble3D val="0"/>
            <c:spPr>
              <a:solidFill>
                <a:srgbClr val="38957F"/>
              </a:solidFill>
            </c:spPr>
            <c:extLst>
              <c:ext xmlns:c16="http://schemas.microsoft.com/office/drawing/2014/chart" uri="{C3380CC4-5D6E-409C-BE32-E72D297353CC}">
                <c16:uniqueId val="{00000012-D972-4FFA-AA6F-539963C9E53A}"/>
              </c:ext>
            </c:extLst>
          </c:dPt>
          <c:dPt>
            <c:idx val="11"/>
            <c:bubble3D val="0"/>
            <c:spPr>
              <a:solidFill>
                <a:srgbClr val="606165"/>
              </a:solidFill>
            </c:spPr>
            <c:extLst>
              <c:ext xmlns:c16="http://schemas.microsoft.com/office/drawing/2014/chart" uri="{C3380CC4-5D6E-409C-BE32-E72D297353CC}">
                <c16:uniqueId val="{00000014-D972-4FFA-AA6F-539963C9E53A}"/>
              </c:ext>
            </c:extLst>
          </c:dPt>
          <c:dPt>
            <c:idx val="12"/>
            <c:bubble3D val="0"/>
            <c:spPr>
              <a:solidFill>
                <a:srgbClr val="E0D19E"/>
              </a:solidFill>
            </c:spPr>
            <c:extLst>
              <c:ext xmlns:c16="http://schemas.microsoft.com/office/drawing/2014/chart" uri="{C3380CC4-5D6E-409C-BE32-E72D297353CC}">
                <c16:uniqueId val="{00000016-D972-4FFA-AA6F-539963C9E53A}"/>
              </c:ext>
            </c:extLst>
          </c:dPt>
          <c:dPt>
            <c:idx val="13"/>
            <c:bubble3D val="0"/>
            <c:spPr>
              <a:solidFill>
                <a:srgbClr val="E2F6F1"/>
              </a:solidFill>
            </c:spPr>
            <c:extLst>
              <c:ext xmlns:c16="http://schemas.microsoft.com/office/drawing/2014/chart" uri="{C3380CC4-5D6E-409C-BE32-E72D297353CC}">
                <c16:uniqueId val="{00000018-D972-4FFA-AA6F-539963C9E53A}"/>
              </c:ext>
            </c:extLst>
          </c:dPt>
          <c:dPt>
            <c:idx val="14"/>
            <c:bubble3D val="0"/>
            <c:spPr>
              <a:solidFill>
                <a:srgbClr val="7072BB"/>
              </a:solidFill>
            </c:spPr>
            <c:extLst>
              <c:ext xmlns:c16="http://schemas.microsoft.com/office/drawing/2014/chart" uri="{C3380CC4-5D6E-409C-BE32-E72D297353CC}">
                <c16:uniqueId val="{0000001A-D972-4FFA-AA6F-539963C9E53A}"/>
              </c:ext>
            </c:extLst>
          </c:dPt>
          <c:dPt>
            <c:idx val="15"/>
            <c:bubble3D val="0"/>
            <c:spPr>
              <a:solidFill>
                <a:srgbClr val="93959B"/>
              </a:solidFill>
            </c:spPr>
            <c:extLst>
              <c:ext xmlns:c16="http://schemas.microsoft.com/office/drawing/2014/chart" uri="{C3380CC4-5D6E-409C-BE32-E72D297353CC}">
                <c16:uniqueId val="{0000001C-D972-4FFA-AA6F-539963C9E53A}"/>
              </c:ext>
            </c:extLst>
          </c:dPt>
          <c:dPt>
            <c:idx val="16"/>
            <c:bubble3D val="0"/>
            <c:extLst>
              <c:ext xmlns:c16="http://schemas.microsoft.com/office/drawing/2014/chart" uri="{C3380CC4-5D6E-409C-BE32-E72D297353CC}">
                <c16:uniqueId val="{0000001D-D972-4FFA-AA6F-539963C9E53A}"/>
              </c:ext>
            </c:extLst>
          </c:dPt>
          <c:dPt>
            <c:idx val="17"/>
            <c:bubble3D val="0"/>
            <c:extLst>
              <c:ext xmlns:c16="http://schemas.microsoft.com/office/drawing/2014/chart" uri="{C3380CC4-5D6E-409C-BE32-E72D297353CC}">
                <c16:uniqueId val="{0000001E-D972-4FFA-AA6F-539963C9E53A}"/>
              </c:ext>
            </c:extLst>
          </c:dPt>
          <c:dLbls>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0-D972-4FFA-AA6F-539963C9E53A}"/>
                </c:ext>
              </c:extLst>
            </c:dLbl>
            <c:dLbl>
              <c:idx val="4"/>
              <c:layout>
                <c:manualLayout>
                  <c:x val="-2.4823162729658791E-2"/>
                  <c:y val="-9.953703703703704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972-4FFA-AA6F-539963C9E53A}"/>
                </c:ext>
              </c:extLst>
            </c:dLbl>
            <c:dLbl>
              <c:idx val="5"/>
              <c:layout>
                <c:manualLayout>
                  <c:x val="9.5656167979002622E-3"/>
                  <c:y val="-4.50335374744823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972-4FFA-AA6F-539963C9E53A}"/>
                </c:ext>
              </c:extLst>
            </c:dLbl>
            <c:dLbl>
              <c:idx val="6"/>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C-D972-4FFA-AA6F-539963C9E53A}"/>
                </c:ext>
              </c:extLst>
            </c:dLbl>
            <c:dLbl>
              <c:idx val="11"/>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14-D972-4FFA-AA6F-539963C9E53A}"/>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'ODM share analysis'!$Y$209:$Y$220</c:f>
              <c:strCache>
                <c:ptCount val="12"/>
                <c:pt idx="0">
                  <c:v>Microsoft</c:v>
                </c:pt>
                <c:pt idx="1">
                  <c:v>Oracle</c:v>
                </c:pt>
                <c:pt idx="2">
                  <c:v>Google</c:v>
                </c:pt>
                <c:pt idx="3">
                  <c:v>Amazon</c:v>
                </c:pt>
                <c:pt idx="4">
                  <c:v>Meta Platforms</c:v>
                </c:pt>
                <c:pt idx="5">
                  <c:v>Coreweave</c:v>
                </c:pt>
                <c:pt idx="6">
                  <c:v>Tesla/X</c:v>
                </c:pt>
                <c:pt idx="7">
                  <c:v>Nebius</c:v>
                </c:pt>
                <c:pt idx="8">
                  <c:v>MegaSpeed</c:v>
                </c:pt>
                <c:pt idx="9">
                  <c:v>Lambda</c:v>
                </c:pt>
                <c:pt idx="10">
                  <c:v>TogetherAI</c:v>
                </c:pt>
                <c:pt idx="11">
                  <c:v>Others</c:v>
                </c:pt>
              </c:strCache>
            </c:strRef>
          </c:cat>
          <c:val>
            <c:numRef>
              <c:f>'ODM share analysis'!$Z$209:$Z$220</c:f>
              <c:numCache>
                <c:formatCode>0%</c:formatCode>
                <c:ptCount val="12"/>
                <c:pt idx="0">
                  <c:v>0.23263327948303716</c:v>
                </c:pt>
                <c:pt idx="1">
                  <c:v>0.14474959612277866</c:v>
                </c:pt>
                <c:pt idx="2">
                  <c:v>4.1357027463651053E-2</c:v>
                </c:pt>
                <c:pt idx="3">
                  <c:v>0.11890145395799676</c:v>
                </c:pt>
                <c:pt idx="4">
                  <c:v>6.2035541195476572E-2</c:v>
                </c:pt>
                <c:pt idx="5">
                  <c:v>5.8158319870759291E-2</c:v>
                </c:pt>
                <c:pt idx="6">
                  <c:v>9.0468497576736667E-2</c:v>
                </c:pt>
                <c:pt idx="7">
                  <c:v>3.2310177705977383E-2</c:v>
                </c:pt>
                <c:pt idx="8">
                  <c:v>0</c:v>
                </c:pt>
                <c:pt idx="9">
                  <c:v>1.6801292407108238E-2</c:v>
                </c:pt>
                <c:pt idx="10">
                  <c:v>1.9386106623586429E-2</c:v>
                </c:pt>
                <c:pt idx="11">
                  <c:v>0.18319870759289181</c:v>
                </c:pt>
              </c:numCache>
            </c:numRef>
          </c:val>
          <c:extLst>
            <c:ext xmlns:c16="http://schemas.microsoft.com/office/drawing/2014/chart" uri="{C3380CC4-5D6E-409C-BE32-E72D297353CC}">
              <c16:uniqueId val="{0000001F-D972-4FFA-AA6F-539963C9E53A}"/>
            </c:ext>
          </c:extLst>
        </c:ser>
        <c:dLbls>
          <c:showLegendKey val="0"/>
          <c:showVal val="0"/>
          <c:showCatName val="0"/>
          <c:showSerName val="0"/>
          <c:showPercent val="0"/>
          <c:showBubbleSize val="0"/>
          <c:showLeaderLines val="1"/>
        </c:dLbls>
        <c:firstSliceAng val="0"/>
      </c:pieChart>
      <c:spPr>
        <a:noFill/>
        <a:extLst>
          <a:ext uri="{909E8E84-426E-40DD-AFC4-6F175D3DCCD1}">
            <a14:hiddenFill xmlns:a14="http://schemas.microsoft.com/office/drawing/2010/main">
              <a:no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Nvidia GB200 server supply share, 2026e</a:t>
            </a:r>
          </a:p>
        </c:rich>
      </c:tx>
      <c:layout>
        <c:manualLayout>
          <c:xMode val="edge"/>
          <c:yMode val="edge"/>
          <c:x val="1.097112860892382E-3"/>
          <c:y val="0"/>
        </c:manualLayout>
      </c:layout>
      <c:overlay val="0"/>
    </c:title>
    <c:autoTitleDeleted val="0"/>
    <c:plotArea>
      <c:layout>
        <c:manualLayout>
          <c:layoutTarget val="inner"/>
          <c:xMode val="edge"/>
          <c:yMode val="edge"/>
          <c:x val="0.29077955287743373"/>
          <c:y val="0.19888767923302192"/>
          <c:w val="0.45959845051522907"/>
          <c:h val="0.76599741752538186"/>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FBE5-4459-B961-5F2A005AF452}"/>
              </c:ext>
            </c:extLst>
          </c:dPt>
          <c:dPt>
            <c:idx val="1"/>
            <c:bubble3D val="0"/>
            <c:spPr>
              <a:solidFill>
                <a:srgbClr val="EADFBC"/>
              </a:solidFill>
            </c:spPr>
            <c:extLst>
              <c:ext xmlns:c16="http://schemas.microsoft.com/office/drawing/2014/chart" uri="{C3380CC4-5D6E-409C-BE32-E72D297353CC}">
                <c16:uniqueId val="{00000002-FBE5-4459-B961-5F2A005AF452}"/>
              </c:ext>
            </c:extLst>
          </c:dPt>
          <c:dPt>
            <c:idx val="2"/>
            <c:bubble3D val="0"/>
            <c:spPr>
              <a:solidFill>
                <a:srgbClr val="226B5A"/>
              </a:solidFill>
            </c:spPr>
            <c:extLst>
              <c:ext xmlns:c16="http://schemas.microsoft.com/office/drawing/2014/chart" uri="{C3380CC4-5D6E-409C-BE32-E72D297353CC}">
                <c16:uniqueId val="{00000004-FBE5-4459-B961-5F2A005AF452}"/>
              </c:ext>
            </c:extLst>
          </c:dPt>
          <c:dPt>
            <c:idx val="3"/>
            <c:bubble3D val="0"/>
            <c:spPr>
              <a:solidFill>
                <a:srgbClr val="8CD5F2"/>
              </a:solidFill>
            </c:spPr>
            <c:extLst>
              <c:ext xmlns:c16="http://schemas.microsoft.com/office/drawing/2014/chart" uri="{C3380CC4-5D6E-409C-BE32-E72D297353CC}">
                <c16:uniqueId val="{00000006-FBE5-4459-B961-5F2A005AF452}"/>
              </c:ext>
            </c:extLst>
          </c:dPt>
          <c:dPt>
            <c:idx val="4"/>
            <c:bubble3D val="0"/>
            <c:spPr>
              <a:solidFill>
                <a:srgbClr val="D0B86A"/>
              </a:solidFill>
            </c:spPr>
            <c:extLst>
              <c:ext xmlns:c16="http://schemas.microsoft.com/office/drawing/2014/chart" uri="{C3380CC4-5D6E-409C-BE32-E72D297353CC}">
                <c16:uniqueId val="{00000008-FBE5-4459-B961-5F2A005AF452}"/>
              </c:ext>
            </c:extLst>
          </c:dPt>
          <c:dPt>
            <c:idx val="5"/>
            <c:bubble3D val="0"/>
            <c:spPr>
              <a:solidFill>
                <a:srgbClr val="93DECC"/>
              </a:solidFill>
            </c:spPr>
            <c:extLst>
              <c:ext xmlns:c16="http://schemas.microsoft.com/office/drawing/2014/chart" uri="{C3380CC4-5D6E-409C-BE32-E72D297353CC}">
                <c16:uniqueId val="{0000000A-FBE5-4459-B961-5F2A005AF452}"/>
              </c:ext>
            </c:extLst>
          </c:dPt>
          <c:dPt>
            <c:idx val="6"/>
            <c:bubble3D val="0"/>
            <c:spPr>
              <a:solidFill>
                <a:srgbClr val="6769E2"/>
              </a:solidFill>
            </c:spPr>
            <c:extLst>
              <c:ext xmlns:c16="http://schemas.microsoft.com/office/drawing/2014/chart" uri="{C3380CC4-5D6E-409C-BE32-E72D297353CC}">
                <c16:uniqueId val="{0000000C-FBE5-4459-B961-5F2A005AF452}"/>
              </c:ext>
            </c:extLst>
          </c:dPt>
          <c:dPt>
            <c:idx val="7"/>
            <c:bubble3D val="0"/>
            <c:spPr>
              <a:solidFill>
                <a:srgbClr val="606165"/>
              </a:solidFill>
            </c:spPr>
            <c:extLst>
              <c:ext xmlns:c16="http://schemas.microsoft.com/office/drawing/2014/chart" uri="{C3380CC4-5D6E-409C-BE32-E72D297353CC}">
                <c16:uniqueId val="{0000000E-FBE5-4459-B961-5F2A005AF452}"/>
              </c:ext>
            </c:extLst>
          </c:dPt>
          <c:dPt>
            <c:idx val="8"/>
            <c:bubble3D val="0"/>
            <c:spPr>
              <a:solidFill>
                <a:srgbClr val="2673B2"/>
              </a:solidFill>
            </c:spPr>
            <c:extLst>
              <c:ext xmlns:c16="http://schemas.microsoft.com/office/drawing/2014/chart" uri="{C3380CC4-5D6E-409C-BE32-E72D297353CC}">
                <c16:uniqueId val="{00000010-FBE5-4459-B961-5F2A005AF452}"/>
              </c:ext>
            </c:extLst>
          </c:dPt>
          <c:dPt>
            <c:idx val="9"/>
            <c:bubble3D val="0"/>
            <c:spPr>
              <a:solidFill>
                <a:srgbClr val="F6F1E1"/>
              </a:solidFill>
            </c:spPr>
            <c:extLst>
              <c:ext xmlns:c16="http://schemas.microsoft.com/office/drawing/2014/chart" uri="{C3380CC4-5D6E-409C-BE32-E72D297353CC}">
                <c16:uniqueId val="{00000012-FBE5-4459-B961-5F2A005AF452}"/>
              </c:ext>
            </c:extLst>
          </c:dPt>
          <c:dPt>
            <c:idx val="10"/>
            <c:bubble3D val="0"/>
            <c:spPr>
              <a:solidFill>
                <a:srgbClr val="38957F"/>
              </a:solidFill>
            </c:spPr>
            <c:extLst>
              <c:ext xmlns:c16="http://schemas.microsoft.com/office/drawing/2014/chart" uri="{C3380CC4-5D6E-409C-BE32-E72D297353CC}">
                <c16:uniqueId val="{00000014-FBE5-4459-B961-5F2A005AF452}"/>
              </c:ext>
            </c:extLst>
          </c:dPt>
          <c:dPt>
            <c:idx val="11"/>
            <c:bubble3D val="0"/>
            <c:spPr>
              <a:solidFill>
                <a:srgbClr val="D9F1FB"/>
              </a:solidFill>
            </c:spPr>
            <c:extLst>
              <c:ext xmlns:c16="http://schemas.microsoft.com/office/drawing/2014/chart" uri="{C3380CC4-5D6E-409C-BE32-E72D297353CC}">
                <c16:uniqueId val="{00000016-FBE5-4459-B961-5F2A005AF452}"/>
              </c:ext>
            </c:extLst>
          </c:dPt>
          <c:dPt>
            <c:idx val="12"/>
            <c:bubble3D val="0"/>
            <c:spPr>
              <a:solidFill>
                <a:srgbClr val="E0D19E"/>
              </a:solidFill>
            </c:spPr>
            <c:extLst>
              <c:ext xmlns:c16="http://schemas.microsoft.com/office/drawing/2014/chart" uri="{C3380CC4-5D6E-409C-BE32-E72D297353CC}">
                <c16:uniqueId val="{00000018-FBE5-4459-B961-5F2A005AF452}"/>
              </c:ext>
            </c:extLst>
          </c:dPt>
          <c:dPt>
            <c:idx val="13"/>
            <c:bubble3D val="0"/>
            <c:spPr>
              <a:solidFill>
                <a:srgbClr val="E2F6F1"/>
              </a:solidFill>
            </c:spPr>
            <c:extLst>
              <c:ext xmlns:c16="http://schemas.microsoft.com/office/drawing/2014/chart" uri="{C3380CC4-5D6E-409C-BE32-E72D297353CC}">
                <c16:uniqueId val="{0000001A-FBE5-4459-B961-5F2A005AF452}"/>
              </c:ext>
            </c:extLst>
          </c:dPt>
          <c:dPt>
            <c:idx val="14"/>
            <c:bubble3D val="0"/>
            <c:spPr>
              <a:solidFill>
                <a:srgbClr val="7072BB"/>
              </a:solidFill>
            </c:spPr>
            <c:extLst>
              <c:ext xmlns:c16="http://schemas.microsoft.com/office/drawing/2014/chart" uri="{C3380CC4-5D6E-409C-BE32-E72D297353CC}">
                <c16:uniqueId val="{0000001C-FBE5-4459-B961-5F2A005AF452}"/>
              </c:ext>
            </c:extLst>
          </c:dPt>
          <c:dPt>
            <c:idx val="15"/>
            <c:bubble3D val="0"/>
            <c:spPr>
              <a:solidFill>
                <a:srgbClr val="93959B"/>
              </a:solidFill>
            </c:spPr>
            <c:extLst>
              <c:ext xmlns:c16="http://schemas.microsoft.com/office/drawing/2014/chart" uri="{C3380CC4-5D6E-409C-BE32-E72D297353CC}">
                <c16:uniqueId val="{0000001E-FBE5-4459-B961-5F2A005AF452}"/>
              </c:ext>
            </c:extLst>
          </c:dPt>
          <c:dPt>
            <c:idx val="16"/>
            <c:bubble3D val="0"/>
            <c:extLst>
              <c:ext xmlns:c16="http://schemas.microsoft.com/office/drawing/2014/chart" uri="{C3380CC4-5D6E-409C-BE32-E72D297353CC}">
                <c16:uniqueId val="{0000001F-FBE5-4459-B961-5F2A005AF452}"/>
              </c:ext>
            </c:extLst>
          </c:dPt>
          <c:dPt>
            <c:idx val="17"/>
            <c:bubble3D val="0"/>
            <c:extLst>
              <c:ext xmlns:c16="http://schemas.microsoft.com/office/drawing/2014/chart" uri="{C3380CC4-5D6E-409C-BE32-E72D297353CC}">
                <c16:uniqueId val="{00000020-FBE5-4459-B961-5F2A005AF452}"/>
              </c:ext>
            </c:extLst>
          </c:dPt>
          <c:dLbls>
            <c:dLbl>
              <c:idx val="0"/>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0-FBE5-4459-B961-5F2A005AF452}"/>
                </c:ext>
              </c:extLst>
            </c:dLbl>
            <c:dLbl>
              <c:idx val="2"/>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4-FBE5-4459-B961-5F2A005AF452}"/>
                </c:ext>
              </c:extLst>
            </c:dLbl>
            <c:dLbl>
              <c:idx val="8"/>
              <c:layout>
                <c:manualLayout>
                  <c:x val="5.2601159581740435E-2"/>
                  <c:y val="-6.269539458693065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BE5-4459-B961-5F2A005AF452}"/>
                </c:ext>
              </c:extLst>
            </c:dLbl>
            <c:dLbl>
              <c:idx val="9"/>
              <c:layout>
                <c:manualLayout>
                  <c:x val="0.1146791908246196"/>
                  <c:y val="-5.9886404874631826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BE5-4459-B961-5F2A005AF452}"/>
                </c:ext>
              </c:extLst>
            </c:dLbl>
            <c:spPr>
              <a:noFill/>
              <a:ln>
                <a:noFill/>
              </a:ln>
              <a:effectLst/>
            </c:spPr>
            <c:txPr>
              <a:bodyPr wrap="square" lIns="38100" tIns="19050" rIns="38100" bIns="19050" anchor="ctr">
                <a:spAutoFit/>
              </a:bodyPr>
              <a:lstStyle/>
              <a:p>
                <a:pPr>
                  <a:defRPr sz="800"/>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'ODM share analysis'!$Y$196:$Y$205</c:f>
              <c:strCache>
                <c:ptCount val="10"/>
                <c:pt idx="0">
                  <c:v>Quanta</c:v>
                </c:pt>
                <c:pt idx="1">
                  <c:v>FII/HH</c:v>
                </c:pt>
                <c:pt idx="2">
                  <c:v>Wistron</c:v>
                </c:pt>
                <c:pt idx="3">
                  <c:v>Wiwynn</c:v>
                </c:pt>
                <c:pt idx="4">
                  <c:v>SMCI</c:v>
                </c:pt>
                <c:pt idx="5">
                  <c:v>Giga-Byte</c:v>
                </c:pt>
                <c:pt idx="6">
                  <c:v>Asustek</c:v>
                </c:pt>
                <c:pt idx="7">
                  <c:v>Lenovo</c:v>
                </c:pt>
                <c:pt idx="8">
                  <c:v>Pegatron</c:v>
                </c:pt>
                <c:pt idx="9">
                  <c:v>Others</c:v>
                </c:pt>
              </c:strCache>
            </c:strRef>
          </c:cat>
          <c:val>
            <c:numRef>
              <c:f>'ODM share analysis'!$Z$196:$Z$205</c:f>
              <c:numCache>
                <c:formatCode>0%</c:formatCode>
                <c:ptCount val="10"/>
                <c:pt idx="0">
                  <c:v>0.24168012924071086</c:v>
                </c:pt>
                <c:pt idx="1">
                  <c:v>0.40969305331179329</c:v>
                </c:pt>
                <c:pt idx="2">
                  <c:v>0.18255250403877224</c:v>
                </c:pt>
                <c:pt idx="3">
                  <c:v>6.4620355411954781E-4</c:v>
                </c:pt>
                <c:pt idx="4">
                  <c:v>8.2714054927302119E-2</c:v>
                </c:pt>
                <c:pt idx="5">
                  <c:v>1.1631663974151859E-2</c:v>
                </c:pt>
                <c:pt idx="6">
                  <c:v>6.4620355411954778E-3</c:v>
                </c:pt>
                <c:pt idx="7">
                  <c:v>1.2924071082390956E-2</c:v>
                </c:pt>
                <c:pt idx="8">
                  <c:v>3.231017770597739E-2</c:v>
                </c:pt>
                <c:pt idx="9">
                  <c:v>1.9386106623586197E-2</c:v>
                </c:pt>
              </c:numCache>
            </c:numRef>
          </c:val>
          <c:extLst>
            <c:ext xmlns:c16="http://schemas.microsoft.com/office/drawing/2014/chart" uri="{C3380CC4-5D6E-409C-BE32-E72D297353CC}">
              <c16:uniqueId val="{00000021-FBE5-4459-B961-5F2A005AF452}"/>
            </c:ext>
          </c:extLst>
        </c:ser>
        <c:dLbls>
          <c:showLegendKey val="0"/>
          <c:showVal val="0"/>
          <c:showCatName val="0"/>
          <c:showSerName val="0"/>
          <c:showPercent val="0"/>
          <c:showBubbleSize val="0"/>
          <c:showLeaderLines val="1"/>
        </c:dLbls>
        <c:firstSliceAng val="0"/>
      </c:pieChart>
      <c:spPr>
        <a:noFill/>
        <a:extLst>
          <a:ext uri="{909E8E84-426E-40DD-AFC4-6F175D3DCCD1}">
            <a14:hiddenFill xmlns:a14="http://schemas.microsoft.com/office/drawing/2010/main">
              <a:no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 racks by major ODMs (000s)</a:t>
            </a:r>
          </a:p>
        </c:rich>
      </c:tx>
      <c:layout>
        <c:manualLayout>
          <c:xMode val="edge"/>
          <c:yMode val="edge"/>
          <c:x val="0"/>
          <c:y val="0"/>
        </c:manualLayout>
      </c:layout>
      <c:overlay val="0"/>
    </c:title>
    <c:autoTitleDeleted val="0"/>
    <c:plotArea>
      <c:layout>
        <c:manualLayout>
          <c:xMode val="edge"/>
          <c:yMode val="edge"/>
          <c:x val="1.7094017094017096E-2"/>
          <c:y val="8.0337552742616031E-2"/>
          <c:w val="0.98290598290598286"/>
          <c:h val="0.85400843881856536"/>
        </c:manualLayout>
      </c:layout>
      <c:barChart>
        <c:barDir val="col"/>
        <c:grouping val="stacked"/>
        <c:varyColors val="0"/>
        <c:ser>
          <c:idx val="0"/>
          <c:order val="0"/>
          <c:tx>
            <c:strRef>
              <c:f>'GB200-300 Tracker'!$AB$42</c:f>
              <c:strCache>
                <c:ptCount val="1"/>
                <c:pt idx="0">
                  <c:v>Hon Hai</c:v>
                </c:pt>
              </c:strCache>
            </c:strRef>
          </c:tx>
          <c:spPr>
            <a:solidFill>
              <a:srgbClr val="005AA4"/>
            </a:solidFill>
          </c:spPr>
          <c:invertIfNegative val="0"/>
          <c:cat>
            <c:strRef>
              <c:f>'GB200-300 Tracker'!$AC$39:$AF$39</c:f>
              <c:strCache>
                <c:ptCount val="4"/>
                <c:pt idx="0">
                  <c:v>1Q</c:v>
                </c:pt>
                <c:pt idx="1">
                  <c:v>2Q</c:v>
                </c:pt>
                <c:pt idx="2">
                  <c:v>3Q</c:v>
                </c:pt>
                <c:pt idx="3">
                  <c:v>4Q</c:v>
                </c:pt>
              </c:strCache>
            </c:strRef>
          </c:cat>
          <c:val>
            <c:numRef>
              <c:f>'GB200-300 Tracker'!$AC$42:$AF$42</c:f>
              <c:numCache>
                <c:formatCode>#,##0</c:formatCode>
                <c:ptCount val="4"/>
                <c:pt idx="0">
                  <c:v>500</c:v>
                </c:pt>
                <c:pt idx="1">
                  <c:v>1600</c:v>
                </c:pt>
                <c:pt idx="2">
                  <c:v>4800</c:v>
                </c:pt>
                <c:pt idx="3">
                  <c:v>7800</c:v>
                </c:pt>
              </c:numCache>
            </c:numRef>
          </c:val>
          <c:extLst>
            <c:ext xmlns:c16="http://schemas.microsoft.com/office/drawing/2014/chart" uri="{C3380CC4-5D6E-409C-BE32-E72D297353CC}">
              <c16:uniqueId val="{00000000-0E50-4BF9-967E-C5407C4C29B2}"/>
            </c:ext>
          </c:extLst>
        </c:ser>
        <c:ser>
          <c:idx val="1"/>
          <c:order val="1"/>
          <c:tx>
            <c:strRef>
              <c:f>'GB200-300 Tracker'!$AB$43</c:f>
              <c:strCache>
                <c:ptCount val="1"/>
                <c:pt idx="0">
                  <c:v>Quanta</c:v>
                </c:pt>
              </c:strCache>
            </c:strRef>
          </c:tx>
          <c:spPr>
            <a:solidFill>
              <a:srgbClr val="EADFBC"/>
            </a:solidFill>
          </c:spPr>
          <c:invertIfNegative val="0"/>
          <c:cat>
            <c:strRef>
              <c:f>'GB200-300 Tracker'!$AC$39:$AF$39</c:f>
              <c:strCache>
                <c:ptCount val="4"/>
                <c:pt idx="0">
                  <c:v>1Q</c:v>
                </c:pt>
                <c:pt idx="1">
                  <c:v>2Q</c:v>
                </c:pt>
                <c:pt idx="2">
                  <c:v>3Q</c:v>
                </c:pt>
                <c:pt idx="3">
                  <c:v>4Q</c:v>
                </c:pt>
              </c:strCache>
            </c:strRef>
          </c:cat>
          <c:val>
            <c:numRef>
              <c:f>'GB200-300 Tracker'!$AC$43:$AF$43</c:f>
              <c:numCache>
                <c:formatCode>#,##0</c:formatCode>
                <c:ptCount val="4"/>
                <c:pt idx="0">
                  <c:v>200</c:v>
                </c:pt>
                <c:pt idx="1">
                  <c:v>800</c:v>
                </c:pt>
                <c:pt idx="2">
                  <c:v>1554</c:v>
                </c:pt>
                <c:pt idx="3">
                  <c:v>3570</c:v>
                </c:pt>
              </c:numCache>
            </c:numRef>
          </c:val>
          <c:extLst>
            <c:ext xmlns:c16="http://schemas.microsoft.com/office/drawing/2014/chart" uri="{C3380CC4-5D6E-409C-BE32-E72D297353CC}">
              <c16:uniqueId val="{00000001-0E50-4BF9-967E-C5407C4C29B2}"/>
            </c:ext>
          </c:extLst>
        </c:ser>
        <c:ser>
          <c:idx val="2"/>
          <c:order val="2"/>
          <c:tx>
            <c:strRef>
              <c:f>'GB200-300 Tracker'!$AB$44</c:f>
              <c:strCache>
                <c:ptCount val="1"/>
                <c:pt idx="0">
                  <c:v>Wistron</c:v>
                </c:pt>
              </c:strCache>
            </c:strRef>
          </c:tx>
          <c:spPr>
            <a:solidFill>
              <a:srgbClr val="226B5A"/>
            </a:solidFill>
          </c:spPr>
          <c:invertIfNegative val="0"/>
          <c:cat>
            <c:strRef>
              <c:f>'GB200-300 Tracker'!$AC$39:$AF$39</c:f>
              <c:strCache>
                <c:ptCount val="4"/>
                <c:pt idx="0">
                  <c:v>1Q</c:v>
                </c:pt>
                <c:pt idx="1">
                  <c:v>2Q</c:v>
                </c:pt>
                <c:pt idx="2">
                  <c:v>3Q</c:v>
                </c:pt>
                <c:pt idx="3">
                  <c:v>4Q</c:v>
                </c:pt>
              </c:strCache>
            </c:strRef>
          </c:cat>
          <c:val>
            <c:numRef>
              <c:f>'GB200-300 Tracker'!$AC$44:$AF$44</c:f>
              <c:numCache>
                <c:formatCode>#,##0</c:formatCode>
                <c:ptCount val="4"/>
                <c:pt idx="0">
                  <c:v>200</c:v>
                </c:pt>
                <c:pt idx="1">
                  <c:v>1860</c:v>
                </c:pt>
                <c:pt idx="2">
                  <c:v>1240</c:v>
                </c:pt>
                <c:pt idx="3">
                  <c:v>2425</c:v>
                </c:pt>
              </c:numCache>
            </c:numRef>
          </c:val>
          <c:extLst>
            <c:ext xmlns:c16="http://schemas.microsoft.com/office/drawing/2014/chart" uri="{C3380CC4-5D6E-409C-BE32-E72D297353CC}">
              <c16:uniqueId val="{00000002-0E50-4BF9-967E-C5407C4C29B2}"/>
            </c:ext>
          </c:extLst>
        </c:ser>
        <c:ser>
          <c:idx val="3"/>
          <c:order val="3"/>
          <c:tx>
            <c:strRef>
              <c:f>'GB200-300 Tracker'!$AB$45</c:f>
              <c:strCache>
                <c:ptCount val="1"/>
                <c:pt idx="0">
                  <c:v>Wiwynn</c:v>
                </c:pt>
              </c:strCache>
            </c:strRef>
          </c:tx>
          <c:spPr>
            <a:solidFill>
              <a:srgbClr val="8CD5F2"/>
            </a:solidFill>
          </c:spPr>
          <c:invertIfNegative val="0"/>
          <c:cat>
            <c:strRef>
              <c:f>'GB200-300 Tracker'!$AC$39:$AF$39</c:f>
              <c:strCache>
                <c:ptCount val="4"/>
                <c:pt idx="0">
                  <c:v>1Q</c:v>
                </c:pt>
                <c:pt idx="1">
                  <c:v>2Q</c:v>
                </c:pt>
                <c:pt idx="2">
                  <c:v>3Q</c:v>
                </c:pt>
                <c:pt idx="3">
                  <c:v>4Q</c:v>
                </c:pt>
              </c:strCache>
            </c:strRef>
          </c:cat>
          <c:val>
            <c:numRef>
              <c:f>'GB200-300 Tracker'!$AC$45:$AF$45</c:f>
              <c:numCache>
                <c:formatCode>#,##0</c:formatCode>
                <c:ptCount val="4"/>
                <c:pt idx="0">
                  <c:v>5</c:v>
                </c:pt>
                <c:pt idx="1">
                  <c:v>20</c:v>
                </c:pt>
                <c:pt idx="2">
                  <c:v>120</c:v>
                </c:pt>
                <c:pt idx="3">
                  <c:v>430</c:v>
                </c:pt>
              </c:numCache>
            </c:numRef>
          </c:val>
          <c:extLst>
            <c:ext xmlns:c16="http://schemas.microsoft.com/office/drawing/2014/chart" uri="{C3380CC4-5D6E-409C-BE32-E72D297353CC}">
              <c16:uniqueId val="{00000003-0E50-4BF9-967E-C5407C4C29B2}"/>
            </c:ext>
          </c:extLst>
        </c:ser>
        <c:ser>
          <c:idx val="4"/>
          <c:order val="4"/>
          <c:tx>
            <c:strRef>
              <c:f>'GB200-300 Tracker'!$AB$46</c:f>
              <c:strCache>
                <c:ptCount val="1"/>
                <c:pt idx="0">
                  <c:v>Others</c:v>
                </c:pt>
              </c:strCache>
            </c:strRef>
          </c:tx>
          <c:spPr>
            <a:solidFill>
              <a:srgbClr val="D0B86A"/>
            </a:solidFill>
            <a:ln w="25400">
              <a:noFill/>
            </a:ln>
          </c:spPr>
          <c:invertIfNegative val="0"/>
          <c:dLbls>
            <c:dLbl>
              <c:idx val="0"/>
              <c:tx>
                <c:rich>
                  <a:bodyPr/>
                  <a:lstStyle/>
                  <a:p>
                    <a:fld id="{25410001-BACF-4FC9-86BF-99216C246636}"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E50-4BF9-967E-C5407C4C29B2}"/>
                </c:ext>
              </c:extLst>
            </c:dLbl>
            <c:dLbl>
              <c:idx val="1"/>
              <c:tx>
                <c:rich>
                  <a:bodyPr/>
                  <a:lstStyle/>
                  <a:p>
                    <a:fld id="{C40563B0-C6D7-44B5-A201-55728C3C7E5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E50-4BF9-967E-C5407C4C29B2}"/>
                </c:ext>
              </c:extLst>
            </c:dLbl>
            <c:dLbl>
              <c:idx val="2"/>
              <c:tx>
                <c:rich>
                  <a:bodyPr/>
                  <a:lstStyle/>
                  <a:p>
                    <a:fld id="{463FE1F0-A314-46C6-8F68-75F67DA57B9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E50-4BF9-967E-C5407C4C29B2}"/>
                </c:ext>
              </c:extLst>
            </c:dLbl>
            <c:dLbl>
              <c:idx val="3"/>
              <c:layout>
                <c:manualLayout>
                  <c:x val="0"/>
                  <c:y val="-6.0714038303769577E-2"/>
                </c:manualLayout>
              </c:layout>
              <c:tx>
                <c:rich>
                  <a:bodyPr/>
                  <a:lstStyle/>
                  <a:p>
                    <a:fld id="{24308782-1A94-4AC2-BAFE-41078A412AA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E50-4BF9-967E-C5407C4C29B2}"/>
                </c:ext>
              </c:extLst>
            </c:dLbl>
            <c:spPr>
              <a:noFill/>
              <a:ln>
                <a:noFill/>
              </a:ln>
              <a:effectLst/>
            </c:sp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'GB200-300 Tracker'!$AC$39:$AF$39</c:f>
              <c:strCache>
                <c:ptCount val="4"/>
                <c:pt idx="0">
                  <c:v>1Q</c:v>
                </c:pt>
                <c:pt idx="1">
                  <c:v>2Q</c:v>
                </c:pt>
                <c:pt idx="2">
                  <c:v>3Q</c:v>
                </c:pt>
                <c:pt idx="3">
                  <c:v>4Q</c:v>
                </c:pt>
              </c:strCache>
            </c:strRef>
          </c:cat>
          <c:val>
            <c:numRef>
              <c:f>'GB200-300 Tracker'!$AC$46:$AF$46</c:f>
              <c:numCache>
                <c:formatCode>#,##0</c:formatCode>
                <c:ptCount val="4"/>
                <c:pt idx="0">
                  <c:v>3</c:v>
                </c:pt>
                <c:pt idx="1">
                  <c:v>16</c:v>
                </c:pt>
                <c:pt idx="2">
                  <c:v>550</c:v>
                </c:pt>
                <c:pt idx="3">
                  <c:v>1225</c:v>
                </c:pt>
              </c:numCache>
            </c:numRef>
          </c:val>
          <c:extLst>
            <c:ext xmlns:c15="http://schemas.microsoft.com/office/drawing/2012/chart" uri="{02D57815-91ED-43cb-92C2-25804820EDAC}">
              <c15:datalabelsRange>
                <c15:f>'GB200-300 Tracker'!$AC$48:$AF$48</c15:f>
                <c15:dlblRangeCache>
                  <c:ptCount val="4"/>
                  <c:pt idx="0">
                    <c:v>0.9</c:v>
                  </c:pt>
                  <c:pt idx="1">
                    <c:v>4.3</c:v>
                  </c:pt>
                  <c:pt idx="2">
                    <c:v>8.3</c:v>
                  </c:pt>
                  <c:pt idx="3">
                    <c:v>15.5</c:v>
                  </c:pt>
                </c15:dlblRangeCache>
              </c15:datalabelsRange>
            </c:ext>
            <c:ext xmlns:c16="http://schemas.microsoft.com/office/drawing/2014/chart" uri="{C3380CC4-5D6E-409C-BE32-E72D297353CC}">
              <c16:uniqueId val="{00000008-0E50-4BF9-967E-C5407C4C29B2}"/>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max val="20000"/>
        </c:scaling>
        <c:delete val="1"/>
        <c:axPos val="l"/>
        <c:numFmt formatCode="#,##0" sourceLinked="1"/>
        <c:majorTickMark val="out"/>
        <c:minorTickMark val="none"/>
        <c:tickLblPos val="nextTo"/>
        <c:crossAx val="96755072"/>
        <c:crosses val="autoZero"/>
        <c:crossBetween val="between"/>
        <c:majorUnit val="10000"/>
      </c:valAx>
      <c:spPr>
        <a:noFill/>
        <a:ln w="25400">
          <a:noFill/>
        </a:ln>
        <a:extLst>
          <a:ext uri="{909E8E84-426E-40DD-AFC4-6F175D3DCCD1}">
            <a14:hiddenFill xmlns:a14="http://schemas.microsoft.com/office/drawing/2010/main">
              <a:solidFill>
                <a:sysClr val="window" lastClr="FFFFFF"/>
              </a:solidFill>
            </a14:hiddenFill>
          </a:ext>
        </a:extLst>
      </c:spPr>
    </c:plotArea>
    <c:legend>
      <c:legendPos val="t"/>
      <c:layout>
        <c:manualLayout>
          <c:xMode val="edge"/>
          <c:yMode val="edge"/>
          <c:x val="0.19927427821522306"/>
          <c:y val="0.92222222222222228"/>
          <c:w val="0.60145144356955382"/>
          <c:h val="7.7277631962671331E-2"/>
        </c:manualLayout>
      </c:layout>
      <c:overlay val="0"/>
      <c:spPr>
        <a:solidFill>
          <a:srgbClr val="FFFFFF"/>
        </a:solidFill>
      </c:spPr>
    </c:legend>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 racks by Major ODMs (Monthly)</a:t>
            </a:r>
          </a:p>
        </c:rich>
      </c:tx>
      <c:layout>
        <c:manualLayout>
          <c:xMode val="edge"/>
          <c:yMode val="edge"/>
          <c:x val="0"/>
          <c:y val="0"/>
        </c:manualLayout>
      </c:layout>
      <c:overlay val="0"/>
    </c:title>
    <c:autoTitleDeleted val="0"/>
    <c:plotArea>
      <c:layout>
        <c:manualLayout>
          <c:xMode val="edge"/>
          <c:yMode val="edge"/>
          <c:x val="1.7094017094017096E-2"/>
          <c:y val="8.0337552742616031E-2"/>
          <c:w val="0.98290598290598286"/>
          <c:h val="0.85400843881856536"/>
        </c:manualLayout>
      </c:layout>
      <c:barChart>
        <c:barDir val="col"/>
        <c:grouping val="stacked"/>
        <c:varyColors val="0"/>
        <c:ser>
          <c:idx val="0"/>
          <c:order val="0"/>
          <c:tx>
            <c:strRef>
              <c:f>'GB200-300 Tracker'!$B$42</c:f>
              <c:strCache>
                <c:ptCount val="1"/>
                <c:pt idx="0">
                  <c:v>Hon Hai</c:v>
                </c:pt>
              </c:strCache>
            </c:strRef>
          </c:tx>
          <c:spPr>
            <a:solidFill>
              <a:srgbClr val="005AA4"/>
            </a:solidFill>
          </c:spPr>
          <c:invertIfNegative val="0"/>
          <c:cat>
            <c:strRef>
              <c:f>'GB200-300 Tracker'!$C$39:$I$39</c:f>
              <c:strCache>
                <c:ptCount val="7"/>
                <c:pt idx="0">
                  <c:v>Jan</c:v>
                </c:pt>
                <c:pt idx="1">
                  <c:v>Feb</c:v>
                </c:pt>
                <c:pt idx="2">
                  <c:v>Mar</c:v>
                </c:pt>
                <c:pt idx="3">
                  <c:v>Apr</c:v>
                </c:pt>
                <c:pt idx="4">
                  <c:v>May</c:v>
                </c:pt>
                <c:pt idx="5">
                  <c:v>Jun</c:v>
                </c:pt>
                <c:pt idx="6">
                  <c:v>Jul</c:v>
                </c:pt>
              </c:strCache>
            </c:strRef>
          </c:cat>
          <c:val>
            <c:numRef>
              <c:f>'GB200-300 Tracker'!$C$42:$I$42</c:f>
              <c:numCache>
                <c:formatCode>#,##0</c:formatCode>
                <c:ptCount val="7"/>
                <c:pt idx="0">
                  <c:v>30</c:v>
                </c:pt>
                <c:pt idx="1">
                  <c:v>150</c:v>
                </c:pt>
                <c:pt idx="2">
                  <c:v>320</c:v>
                </c:pt>
                <c:pt idx="3">
                  <c:v>400</c:v>
                </c:pt>
                <c:pt idx="4">
                  <c:v>500</c:v>
                </c:pt>
                <c:pt idx="5">
                  <c:v>700</c:v>
                </c:pt>
                <c:pt idx="6">
                  <c:v>700</c:v>
                </c:pt>
              </c:numCache>
            </c:numRef>
          </c:val>
          <c:extLst>
            <c:ext xmlns:c16="http://schemas.microsoft.com/office/drawing/2014/chart" uri="{C3380CC4-5D6E-409C-BE32-E72D297353CC}">
              <c16:uniqueId val="{00000000-447D-41DE-8E8E-6F32CF172ED6}"/>
            </c:ext>
          </c:extLst>
        </c:ser>
        <c:ser>
          <c:idx val="1"/>
          <c:order val="1"/>
          <c:tx>
            <c:strRef>
              <c:f>'GB200-300 Tracker'!$B$43</c:f>
              <c:strCache>
                <c:ptCount val="1"/>
                <c:pt idx="0">
                  <c:v>Quanta</c:v>
                </c:pt>
              </c:strCache>
            </c:strRef>
          </c:tx>
          <c:spPr>
            <a:solidFill>
              <a:srgbClr val="EADFBC"/>
            </a:solidFill>
          </c:spPr>
          <c:invertIfNegative val="0"/>
          <c:cat>
            <c:strRef>
              <c:f>'GB200-300 Tracker'!$C$39:$I$39</c:f>
              <c:strCache>
                <c:ptCount val="7"/>
                <c:pt idx="0">
                  <c:v>Jan</c:v>
                </c:pt>
                <c:pt idx="1">
                  <c:v>Feb</c:v>
                </c:pt>
                <c:pt idx="2">
                  <c:v>Mar</c:v>
                </c:pt>
                <c:pt idx="3">
                  <c:v>Apr</c:v>
                </c:pt>
                <c:pt idx="4">
                  <c:v>May</c:v>
                </c:pt>
                <c:pt idx="5">
                  <c:v>Jun</c:v>
                </c:pt>
                <c:pt idx="6">
                  <c:v>Jul</c:v>
                </c:pt>
              </c:strCache>
            </c:strRef>
          </c:cat>
          <c:val>
            <c:numRef>
              <c:f>'GB200-300 Tracker'!$C$43:$I$43</c:f>
              <c:numCache>
                <c:formatCode>#,##0</c:formatCode>
                <c:ptCount val="7"/>
                <c:pt idx="0">
                  <c:v>50</c:v>
                </c:pt>
                <c:pt idx="1">
                  <c:v>50</c:v>
                </c:pt>
                <c:pt idx="2">
                  <c:v>100</c:v>
                </c:pt>
                <c:pt idx="3">
                  <c:v>125</c:v>
                </c:pt>
                <c:pt idx="4">
                  <c:v>300</c:v>
                </c:pt>
                <c:pt idx="5">
                  <c:v>375</c:v>
                </c:pt>
                <c:pt idx="6">
                  <c:v>420</c:v>
                </c:pt>
              </c:numCache>
            </c:numRef>
          </c:val>
          <c:extLst>
            <c:ext xmlns:c16="http://schemas.microsoft.com/office/drawing/2014/chart" uri="{C3380CC4-5D6E-409C-BE32-E72D297353CC}">
              <c16:uniqueId val="{00000001-447D-41DE-8E8E-6F32CF172ED6}"/>
            </c:ext>
          </c:extLst>
        </c:ser>
        <c:ser>
          <c:idx val="2"/>
          <c:order val="2"/>
          <c:tx>
            <c:strRef>
              <c:f>'GB200-300 Tracker'!$B$44</c:f>
              <c:strCache>
                <c:ptCount val="1"/>
                <c:pt idx="0">
                  <c:v>Wistron</c:v>
                </c:pt>
              </c:strCache>
            </c:strRef>
          </c:tx>
          <c:spPr>
            <a:solidFill>
              <a:srgbClr val="226B5A"/>
            </a:solidFill>
          </c:spPr>
          <c:invertIfNegative val="0"/>
          <c:cat>
            <c:strRef>
              <c:f>'GB200-300 Tracker'!$C$39:$I$39</c:f>
              <c:strCache>
                <c:ptCount val="7"/>
                <c:pt idx="0">
                  <c:v>Jan</c:v>
                </c:pt>
                <c:pt idx="1">
                  <c:v>Feb</c:v>
                </c:pt>
                <c:pt idx="2">
                  <c:v>Mar</c:v>
                </c:pt>
                <c:pt idx="3">
                  <c:v>Apr</c:v>
                </c:pt>
                <c:pt idx="4">
                  <c:v>May</c:v>
                </c:pt>
                <c:pt idx="5">
                  <c:v>Jun</c:v>
                </c:pt>
                <c:pt idx="6">
                  <c:v>Jul</c:v>
                </c:pt>
              </c:strCache>
            </c:strRef>
          </c:cat>
          <c:val>
            <c:numRef>
              <c:f>'GB200-300 Tracker'!$C$44:$I$44</c:f>
              <c:numCache>
                <c:formatCode>#,##0</c:formatCode>
                <c:ptCount val="7"/>
                <c:pt idx="0">
                  <c:v>45</c:v>
                </c:pt>
                <c:pt idx="1">
                  <c:v>80</c:v>
                </c:pt>
                <c:pt idx="2">
                  <c:v>75</c:v>
                </c:pt>
                <c:pt idx="3">
                  <c:v>160</c:v>
                </c:pt>
                <c:pt idx="4">
                  <c:v>950</c:v>
                </c:pt>
                <c:pt idx="5">
                  <c:v>750</c:v>
                </c:pt>
                <c:pt idx="6">
                  <c:v>500</c:v>
                </c:pt>
              </c:numCache>
            </c:numRef>
          </c:val>
          <c:extLst>
            <c:ext xmlns:c16="http://schemas.microsoft.com/office/drawing/2014/chart" uri="{C3380CC4-5D6E-409C-BE32-E72D297353CC}">
              <c16:uniqueId val="{00000002-447D-41DE-8E8E-6F32CF172ED6}"/>
            </c:ext>
          </c:extLst>
        </c:ser>
        <c:ser>
          <c:idx val="3"/>
          <c:order val="3"/>
          <c:tx>
            <c:strRef>
              <c:f>'GB200-300 Tracker'!$B$45</c:f>
              <c:strCache>
                <c:ptCount val="1"/>
                <c:pt idx="0">
                  <c:v>Wiwynn</c:v>
                </c:pt>
              </c:strCache>
            </c:strRef>
          </c:tx>
          <c:spPr>
            <a:solidFill>
              <a:srgbClr val="8CD5F2"/>
            </a:solidFill>
          </c:spPr>
          <c:invertIfNegative val="0"/>
          <c:cat>
            <c:strRef>
              <c:f>'GB200-300 Tracker'!$C$39:$I$39</c:f>
              <c:strCache>
                <c:ptCount val="7"/>
                <c:pt idx="0">
                  <c:v>Jan</c:v>
                </c:pt>
                <c:pt idx="1">
                  <c:v>Feb</c:v>
                </c:pt>
                <c:pt idx="2">
                  <c:v>Mar</c:v>
                </c:pt>
                <c:pt idx="3">
                  <c:v>Apr</c:v>
                </c:pt>
                <c:pt idx="4">
                  <c:v>May</c:v>
                </c:pt>
                <c:pt idx="5">
                  <c:v>Jun</c:v>
                </c:pt>
                <c:pt idx="6">
                  <c:v>Jul</c:v>
                </c:pt>
              </c:strCache>
            </c:strRef>
          </c:cat>
          <c:val>
            <c:numRef>
              <c:f>'GB200-300 Tracker'!$C$45:$I$45</c:f>
              <c:numCache>
                <c:formatCode>#,##0</c:formatCode>
                <c:ptCount val="7"/>
                <c:pt idx="0">
                  <c:v>1</c:v>
                </c:pt>
                <c:pt idx="1">
                  <c:v>2</c:v>
                </c:pt>
                <c:pt idx="2">
                  <c:v>2</c:v>
                </c:pt>
                <c:pt idx="3">
                  <c:v>5</c:v>
                </c:pt>
                <c:pt idx="4">
                  <c:v>5</c:v>
                </c:pt>
                <c:pt idx="5">
                  <c:v>10</c:v>
                </c:pt>
                <c:pt idx="6">
                  <c:v>20</c:v>
                </c:pt>
              </c:numCache>
            </c:numRef>
          </c:val>
          <c:extLst>
            <c:ext xmlns:c16="http://schemas.microsoft.com/office/drawing/2014/chart" uri="{C3380CC4-5D6E-409C-BE32-E72D297353CC}">
              <c16:uniqueId val="{00000003-447D-41DE-8E8E-6F32CF172ED6}"/>
            </c:ext>
          </c:extLst>
        </c:ser>
        <c:ser>
          <c:idx val="4"/>
          <c:order val="4"/>
          <c:tx>
            <c:strRef>
              <c:f>'GB200-300 Tracker'!$B$46</c:f>
              <c:strCache>
                <c:ptCount val="1"/>
                <c:pt idx="0">
                  <c:v>Others</c:v>
                </c:pt>
              </c:strCache>
            </c:strRef>
          </c:tx>
          <c:spPr>
            <a:solidFill>
              <a:srgbClr val="D0B86A"/>
            </a:solidFill>
            <a:ln w="25400">
              <a:noFill/>
            </a:ln>
          </c:spPr>
          <c:invertIfNegative val="0"/>
          <c:cat>
            <c:strRef>
              <c:f>'GB200-300 Tracker'!$C$39:$I$39</c:f>
              <c:strCache>
                <c:ptCount val="7"/>
                <c:pt idx="0">
                  <c:v>Jan</c:v>
                </c:pt>
                <c:pt idx="1">
                  <c:v>Feb</c:v>
                </c:pt>
                <c:pt idx="2">
                  <c:v>Mar</c:v>
                </c:pt>
                <c:pt idx="3">
                  <c:v>Apr</c:v>
                </c:pt>
                <c:pt idx="4">
                  <c:v>May</c:v>
                </c:pt>
                <c:pt idx="5">
                  <c:v>Jun</c:v>
                </c:pt>
                <c:pt idx="6">
                  <c:v>Jul</c:v>
                </c:pt>
              </c:strCache>
            </c:strRef>
          </c:cat>
          <c:val>
            <c:numRef>
              <c:f>'GB200-300 Tracker'!$C$46:$I$46</c:f>
              <c:numCache>
                <c:formatCode>#,##0</c:formatCode>
                <c:ptCount val="7"/>
                <c:pt idx="0">
                  <c:v>1</c:v>
                </c:pt>
                <c:pt idx="1">
                  <c:v>1</c:v>
                </c:pt>
                <c:pt idx="2">
                  <c:v>1</c:v>
                </c:pt>
                <c:pt idx="3">
                  <c:v>2</c:v>
                </c:pt>
                <c:pt idx="4">
                  <c:v>4</c:v>
                </c:pt>
                <c:pt idx="5">
                  <c:v>10</c:v>
                </c:pt>
                <c:pt idx="6">
                  <c:v>100</c:v>
                </c:pt>
              </c:numCache>
            </c:numRef>
          </c:val>
          <c:extLst>
            <c:ext xmlns:c16="http://schemas.microsoft.com/office/drawing/2014/chart" uri="{C3380CC4-5D6E-409C-BE32-E72D297353CC}">
              <c16:uniqueId val="{00000004-447D-41DE-8E8E-6F32CF172ED6}"/>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scaling>
        <c:delete val="0"/>
        <c:axPos val="l"/>
        <c:majorGridlines>
          <c:spPr>
            <a:ln w="6350" cap="rnd" cmpd="sng" algn="ctr">
              <a:solidFill>
                <a:srgbClr val="C0C0C0"/>
              </a:solidFill>
              <a:prstDash val="solid"/>
              <a:round/>
              <a:headEnd type="none" w="med" len="med"/>
              <a:tailEnd type="none" w="med" len="med"/>
            </a:ln>
          </c:spPr>
        </c:majorGridlines>
        <c:numFmt formatCode="#,##0" sourceLinked="1"/>
        <c:majorTickMark val="out"/>
        <c:minorTickMark val="none"/>
        <c:tickLblPos val="nextTo"/>
        <c:spPr>
          <a:ln>
            <a:noFill/>
          </a:ln>
        </c:spPr>
        <c:crossAx val="96755072"/>
        <c:crosses val="autoZero"/>
        <c:crossBetween val="between"/>
        <c:majorUnit val="1000"/>
      </c:valAx>
      <c:spPr>
        <a:noFill/>
        <a:extLst>
          <a:ext uri="{909E8E84-426E-40DD-AFC4-6F175D3DCCD1}">
            <a14:hiddenFill xmlns:a14="http://schemas.microsoft.com/office/drawing/2010/main">
              <a:solidFill>
                <a:sysClr val="window" lastClr="FFFFFF"/>
              </a:solidFill>
            </a14:hiddenFill>
          </a:ext>
        </a:extLst>
      </c:spPr>
    </c:plotArea>
    <c:legend>
      <c:legendPos val="t"/>
      <c:layout>
        <c:manualLayout>
          <c:xMode val="edge"/>
          <c:yMode val="edge"/>
          <c:x val="0.19927427821522306"/>
          <c:y val="0.92222222222222228"/>
          <c:w val="0.60145144356955382"/>
          <c:h val="7.7277631962671331E-2"/>
        </c:manualLayout>
      </c:layout>
      <c:overlay val="0"/>
      <c:spPr>
        <a:solidFill>
          <a:srgbClr val="FFFFFF"/>
        </a:solidFill>
      </c:spPr>
    </c:legend>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NVL72-equivalent rack supply share (2025)</a:t>
            </a:r>
          </a:p>
        </c:rich>
      </c:tx>
      <c:layout>
        <c:manualLayout>
          <c:xMode val="edge"/>
          <c:yMode val="edge"/>
          <c:x val="0"/>
          <c:y val="0"/>
        </c:manualLayout>
      </c:layout>
      <c:overlay val="0"/>
    </c:title>
    <c:autoTitleDeleted val="0"/>
    <c:plotArea>
      <c:layout>
        <c:manualLayout>
          <c:layoutTarget val="inner"/>
          <c:xMode val="edge"/>
          <c:yMode val="edge"/>
          <c:x val="0.22836789151356082"/>
          <c:y val="9.8668708078156891E-2"/>
          <c:w val="0.53770866141732288"/>
          <c:h val="0.89618110236220472"/>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8B6F-4C24-A594-003E3AF50497}"/>
              </c:ext>
            </c:extLst>
          </c:dPt>
          <c:dPt>
            <c:idx val="1"/>
            <c:bubble3D val="0"/>
            <c:spPr>
              <a:solidFill>
                <a:srgbClr val="EADFBC"/>
              </a:solidFill>
            </c:spPr>
            <c:extLst>
              <c:ext xmlns:c16="http://schemas.microsoft.com/office/drawing/2014/chart" uri="{C3380CC4-5D6E-409C-BE32-E72D297353CC}">
                <c16:uniqueId val="{00000002-8B6F-4C24-A594-003E3AF50497}"/>
              </c:ext>
            </c:extLst>
          </c:dPt>
          <c:dPt>
            <c:idx val="2"/>
            <c:bubble3D val="0"/>
            <c:spPr>
              <a:solidFill>
                <a:srgbClr val="226B5A"/>
              </a:solidFill>
            </c:spPr>
            <c:extLst>
              <c:ext xmlns:c16="http://schemas.microsoft.com/office/drawing/2014/chart" uri="{C3380CC4-5D6E-409C-BE32-E72D297353CC}">
                <c16:uniqueId val="{00000004-8B6F-4C24-A594-003E3AF50497}"/>
              </c:ext>
            </c:extLst>
          </c:dPt>
          <c:dPt>
            <c:idx val="3"/>
            <c:bubble3D val="0"/>
            <c:spPr>
              <a:solidFill>
                <a:srgbClr val="8CD5F2"/>
              </a:solidFill>
            </c:spPr>
            <c:extLst>
              <c:ext xmlns:c16="http://schemas.microsoft.com/office/drawing/2014/chart" uri="{C3380CC4-5D6E-409C-BE32-E72D297353CC}">
                <c16:uniqueId val="{00000006-8B6F-4C24-A594-003E3AF50497}"/>
              </c:ext>
            </c:extLst>
          </c:dPt>
          <c:dPt>
            <c:idx val="4"/>
            <c:bubble3D val="0"/>
            <c:spPr>
              <a:solidFill>
                <a:srgbClr val="D0B86A"/>
              </a:solidFill>
            </c:spPr>
            <c:extLst>
              <c:ext xmlns:c16="http://schemas.microsoft.com/office/drawing/2014/chart" uri="{C3380CC4-5D6E-409C-BE32-E72D297353CC}">
                <c16:uniqueId val="{00000008-8B6F-4C24-A594-003E3AF50497}"/>
              </c:ext>
            </c:extLst>
          </c:dPt>
          <c:dPt>
            <c:idx val="5"/>
            <c:bubble3D val="0"/>
            <c:spPr>
              <a:solidFill>
                <a:srgbClr val="93DECC"/>
              </a:solidFill>
            </c:spPr>
            <c:extLst>
              <c:ext xmlns:c16="http://schemas.microsoft.com/office/drawing/2014/chart" uri="{C3380CC4-5D6E-409C-BE32-E72D297353CC}">
                <c16:uniqueId val="{0000000A-8B6F-4C24-A594-003E3AF50497}"/>
              </c:ext>
            </c:extLst>
          </c:dPt>
          <c:dPt>
            <c:idx val="6"/>
            <c:bubble3D val="0"/>
            <c:spPr>
              <a:solidFill>
                <a:srgbClr val="6769E2"/>
              </a:solidFill>
            </c:spPr>
            <c:extLst>
              <c:ext xmlns:c16="http://schemas.microsoft.com/office/drawing/2014/chart" uri="{C3380CC4-5D6E-409C-BE32-E72D297353CC}">
                <c16:uniqueId val="{0000000C-8B6F-4C24-A594-003E3AF50497}"/>
              </c:ext>
            </c:extLst>
          </c:dPt>
          <c:dPt>
            <c:idx val="7"/>
            <c:bubble3D val="0"/>
            <c:spPr>
              <a:solidFill>
                <a:srgbClr val="606165"/>
              </a:solidFill>
            </c:spPr>
            <c:extLst>
              <c:ext xmlns:c16="http://schemas.microsoft.com/office/drawing/2014/chart" uri="{C3380CC4-5D6E-409C-BE32-E72D297353CC}">
                <c16:uniqueId val="{0000000E-8B6F-4C24-A594-003E3AF50497}"/>
              </c:ext>
            </c:extLst>
          </c:dPt>
          <c:dPt>
            <c:idx val="8"/>
            <c:bubble3D val="0"/>
            <c:spPr>
              <a:solidFill>
                <a:srgbClr val="2673B2"/>
              </a:solidFill>
            </c:spPr>
            <c:extLst>
              <c:ext xmlns:c16="http://schemas.microsoft.com/office/drawing/2014/chart" uri="{C3380CC4-5D6E-409C-BE32-E72D297353CC}">
                <c16:uniqueId val="{00000010-8B6F-4C24-A594-003E3AF50497}"/>
              </c:ext>
            </c:extLst>
          </c:dPt>
          <c:dPt>
            <c:idx val="9"/>
            <c:bubble3D val="0"/>
            <c:spPr>
              <a:solidFill>
                <a:srgbClr val="F6F1E1"/>
              </a:solidFill>
            </c:spPr>
            <c:extLst>
              <c:ext xmlns:c16="http://schemas.microsoft.com/office/drawing/2014/chart" uri="{C3380CC4-5D6E-409C-BE32-E72D297353CC}">
                <c16:uniqueId val="{00000012-8B6F-4C24-A594-003E3AF50497}"/>
              </c:ext>
            </c:extLst>
          </c:dPt>
          <c:dPt>
            <c:idx val="10"/>
            <c:bubble3D val="0"/>
            <c:spPr>
              <a:solidFill>
                <a:srgbClr val="38957F"/>
              </a:solidFill>
            </c:spPr>
            <c:extLst>
              <c:ext xmlns:c16="http://schemas.microsoft.com/office/drawing/2014/chart" uri="{C3380CC4-5D6E-409C-BE32-E72D297353CC}">
                <c16:uniqueId val="{00000014-8B6F-4C24-A594-003E3AF50497}"/>
              </c:ext>
            </c:extLst>
          </c:dPt>
          <c:dPt>
            <c:idx val="11"/>
            <c:bubble3D val="0"/>
            <c:spPr>
              <a:solidFill>
                <a:srgbClr val="D9F1FB"/>
              </a:solidFill>
            </c:spPr>
            <c:extLst>
              <c:ext xmlns:c16="http://schemas.microsoft.com/office/drawing/2014/chart" uri="{C3380CC4-5D6E-409C-BE32-E72D297353CC}">
                <c16:uniqueId val="{00000016-8B6F-4C24-A594-003E3AF50497}"/>
              </c:ext>
            </c:extLst>
          </c:dPt>
          <c:dPt>
            <c:idx val="12"/>
            <c:bubble3D val="0"/>
            <c:spPr>
              <a:solidFill>
                <a:srgbClr val="E0D19E"/>
              </a:solidFill>
            </c:spPr>
            <c:extLst>
              <c:ext xmlns:c16="http://schemas.microsoft.com/office/drawing/2014/chart" uri="{C3380CC4-5D6E-409C-BE32-E72D297353CC}">
                <c16:uniqueId val="{00000018-8B6F-4C24-A594-003E3AF50497}"/>
              </c:ext>
            </c:extLst>
          </c:dPt>
          <c:dPt>
            <c:idx val="13"/>
            <c:bubble3D val="0"/>
            <c:spPr>
              <a:solidFill>
                <a:srgbClr val="E2F6F1"/>
              </a:solidFill>
            </c:spPr>
            <c:extLst>
              <c:ext xmlns:c16="http://schemas.microsoft.com/office/drawing/2014/chart" uri="{C3380CC4-5D6E-409C-BE32-E72D297353CC}">
                <c16:uniqueId val="{0000001A-8B6F-4C24-A594-003E3AF50497}"/>
              </c:ext>
            </c:extLst>
          </c:dPt>
          <c:dPt>
            <c:idx val="14"/>
            <c:bubble3D val="0"/>
            <c:spPr>
              <a:solidFill>
                <a:srgbClr val="7072BB"/>
              </a:solidFill>
            </c:spPr>
            <c:extLst>
              <c:ext xmlns:c16="http://schemas.microsoft.com/office/drawing/2014/chart" uri="{C3380CC4-5D6E-409C-BE32-E72D297353CC}">
                <c16:uniqueId val="{0000001C-8B6F-4C24-A594-003E3AF50497}"/>
              </c:ext>
            </c:extLst>
          </c:dPt>
          <c:dPt>
            <c:idx val="15"/>
            <c:bubble3D val="0"/>
            <c:spPr>
              <a:solidFill>
                <a:srgbClr val="93959B"/>
              </a:solidFill>
            </c:spPr>
            <c:extLst>
              <c:ext xmlns:c16="http://schemas.microsoft.com/office/drawing/2014/chart" uri="{C3380CC4-5D6E-409C-BE32-E72D297353CC}">
                <c16:uniqueId val="{0000001E-8B6F-4C24-A594-003E3AF50497}"/>
              </c:ext>
            </c:extLst>
          </c:dPt>
          <c:dPt>
            <c:idx val="16"/>
            <c:bubble3D val="0"/>
            <c:extLst>
              <c:ext xmlns:c16="http://schemas.microsoft.com/office/drawing/2014/chart" uri="{C3380CC4-5D6E-409C-BE32-E72D297353CC}">
                <c16:uniqueId val="{0000001F-8B6F-4C24-A594-003E3AF50497}"/>
              </c:ext>
            </c:extLst>
          </c:dPt>
          <c:dPt>
            <c:idx val="17"/>
            <c:bubble3D val="0"/>
            <c:extLst>
              <c:ext xmlns:c16="http://schemas.microsoft.com/office/drawing/2014/chart" uri="{C3380CC4-5D6E-409C-BE32-E72D297353CC}">
                <c16:uniqueId val="{00000020-8B6F-4C24-A594-003E3AF50497}"/>
              </c:ext>
            </c:extLst>
          </c:dPt>
          <c:dLbls>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0-8B6F-4C24-A594-003E3AF50497}"/>
                </c:ext>
              </c:extLst>
            </c:dLbl>
            <c:dLbl>
              <c:idx val="2"/>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4-8B6F-4C24-A594-003E3AF50497}"/>
                </c:ext>
              </c:extLst>
            </c:dLbl>
            <c:dLbl>
              <c:idx val="4"/>
              <c:layout>
                <c:manualLayout>
                  <c:x val="4.328565179352576E-2"/>
                  <c:y val="0.128556794983960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B6F-4C24-A594-003E3AF50497}"/>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'GB200-300 Tracker'!$AB$42:$AB$46</c:f>
              <c:strCache>
                <c:ptCount val="5"/>
                <c:pt idx="0">
                  <c:v>Hon Hai</c:v>
                </c:pt>
                <c:pt idx="1">
                  <c:v>Quanta</c:v>
                </c:pt>
                <c:pt idx="2">
                  <c:v>Wistron</c:v>
                </c:pt>
                <c:pt idx="3">
                  <c:v>Wiwynn</c:v>
                </c:pt>
                <c:pt idx="4">
                  <c:v>Others</c:v>
                </c:pt>
              </c:strCache>
            </c:strRef>
          </c:cat>
          <c:val>
            <c:numRef>
              <c:f>'GB200-300 Tracker'!$AH$42:$AH$46</c:f>
              <c:numCache>
                <c:formatCode>0%</c:formatCode>
                <c:ptCount val="5"/>
                <c:pt idx="0">
                  <c:v>0.50833390967563452</c:v>
                </c:pt>
                <c:pt idx="1">
                  <c:v>0.21177121516010788</c:v>
                </c:pt>
                <c:pt idx="2">
                  <c:v>0.19797358046891209</c:v>
                </c:pt>
                <c:pt idx="3">
                  <c:v>1.9883809392074139E-2</c:v>
                </c:pt>
                <c:pt idx="4">
                  <c:v>6.2037485303271321E-2</c:v>
                </c:pt>
              </c:numCache>
            </c:numRef>
          </c:val>
          <c:extLst>
            <c:ext xmlns:c16="http://schemas.microsoft.com/office/drawing/2014/chart" uri="{C3380CC4-5D6E-409C-BE32-E72D297353CC}">
              <c16:uniqueId val="{00000021-8B6F-4C24-A594-003E3AF50497}"/>
            </c:ext>
          </c:extLst>
        </c:ser>
        <c:dLbls>
          <c:showLegendKey val="0"/>
          <c:showVal val="0"/>
          <c:showCatName val="0"/>
          <c:showSerName val="0"/>
          <c:showPercent val="0"/>
          <c:showBubbleSize val="0"/>
          <c:showLeaderLines val="1"/>
        </c:dLbls>
        <c:firstSliceAng val="0"/>
      </c:pieChart>
      <c:spPr>
        <a:noFill/>
        <a:extLst>
          <a:ext uri="{909E8E84-426E-40DD-AFC4-6F175D3DCCD1}">
            <a14:hiddenFill xmlns:a14="http://schemas.microsoft.com/office/drawing/2010/main">
              <a:no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 racks by major ODMs (000s)</a:t>
            </a:r>
          </a:p>
        </c:rich>
      </c:tx>
      <c:layout>
        <c:manualLayout>
          <c:xMode val="edge"/>
          <c:yMode val="edge"/>
          <c:x val="0"/>
          <c:y val="0"/>
        </c:manualLayout>
      </c:layout>
      <c:overlay val="0"/>
    </c:title>
    <c:autoTitleDeleted val="0"/>
    <c:plotArea>
      <c:layout>
        <c:manualLayout>
          <c:layoutTarget val="inner"/>
          <c:xMode val="edge"/>
          <c:yMode val="edge"/>
          <c:x val="3.0688281086149201E-4"/>
          <c:y val="4.9075830367171142E-2"/>
          <c:w val="0.9788076820720516"/>
          <c:h val="0.77362151700119064"/>
        </c:manualLayout>
      </c:layout>
      <c:barChart>
        <c:barDir val="col"/>
        <c:grouping val="stacked"/>
        <c:varyColors val="0"/>
        <c:ser>
          <c:idx val="0"/>
          <c:order val="0"/>
          <c:tx>
            <c:strRef>
              <c:f>'GB200-300 Tracker'!$B$42</c:f>
              <c:strCache>
                <c:ptCount val="1"/>
                <c:pt idx="0">
                  <c:v>Hon Hai</c:v>
                </c:pt>
              </c:strCache>
            </c:strRef>
          </c:tx>
          <c:spPr>
            <a:solidFill>
              <a:srgbClr val="005AA4"/>
            </a:solidFill>
          </c:spPr>
          <c:invertIfNegative val="0"/>
          <c:cat>
            <c:strRef>
              <c:f>'GB200-300 Tracker'!$C$39:$R$39</c:f>
              <c:strCache>
                <c:ptCount val="16"/>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strCache>
            </c:strRef>
          </c:cat>
          <c:val>
            <c:numRef>
              <c:f>'GB200-300 Tracker'!$C$42:$R$42</c:f>
              <c:numCache>
                <c:formatCode>#,##0</c:formatCode>
                <c:ptCount val="16"/>
                <c:pt idx="0">
                  <c:v>30</c:v>
                </c:pt>
                <c:pt idx="1">
                  <c:v>150</c:v>
                </c:pt>
                <c:pt idx="2">
                  <c:v>320</c:v>
                </c:pt>
                <c:pt idx="3">
                  <c:v>400</c:v>
                </c:pt>
                <c:pt idx="4">
                  <c:v>500</c:v>
                </c:pt>
                <c:pt idx="5">
                  <c:v>700</c:v>
                </c:pt>
                <c:pt idx="6">
                  <c:v>700</c:v>
                </c:pt>
                <c:pt idx="7">
                  <c:v>1500</c:v>
                </c:pt>
                <c:pt idx="8">
                  <c:v>2600</c:v>
                </c:pt>
                <c:pt idx="9">
                  <c:v>2500</c:v>
                </c:pt>
                <c:pt idx="10">
                  <c:v>2500</c:v>
                </c:pt>
                <c:pt idx="11">
                  <c:v>2800</c:v>
                </c:pt>
                <c:pt idx="12">
                  <c:v>2400</c:v>
                </c:pt>
                <c:pt idx="13">
                  <c:v>2400</c:v>
                </c:pt>
                <c:pt idx="14">
                  <c:v>3700</c:v>
                </c:pt>
                <c:pt idx="15">
                  <c:v>3700</c:v>
                </c:pt>
              </c:numCache>
            </c:numRef>
          </c:val>
          <c:extLst>
            <c:ext xmlns:c16="http://schemas.microsoft.com/office/drawing/2014/chart" uri="{C3380CC4-5D6E-409C-BE32-E72D297353CC}">
              <c16:uniqueId val="{00000000-3BEE-4743-B59F-972E3E19E3AC}"/>
            </c:ext>
          </c:extLst>
        </c:ser>
        <c:ser>
          <c:idx val="1"/>
          <c:order val="1"/>
          <c:tx>
            <c:strRef>
              <c:f>'GB200-300 Tracker'!$B$43</c:f>
              <c:strCache>
                <c:ptCount val="1"/>
                <c:pt idx="0">
                  <c:v>Quanta</c:v>
                </c:pt>
              </c:strCache>
            </c:strRef>
          </c:tx>
          <c:spPr>
            <a:solidFill>
              <a:srgbClr val="EADFBC"/>
            </a:solidFill>
          </c:spPr>
          <c:invertIfNegative val="0"/>
          <c:cat>
            <c:strRef>
              <c:f>'GB200-300 Tracker'!$C$39:$R$39</c:f>
              <c:strCache>
                <c:ptCount val="16"/>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strCache>
            </c:strRef>
          </c:cat>
          <c:val>
            <c:numRef>
              <c:f>'GB200-300 Tracker'!$C$43:$R$43</c:f>
              <c:numCache>
                <c:formatCode>#,##0</c:formatCode>
                <c:ptCount val="16"/>
                <c:pt idx="0">
                  <c:v>50</c:v>
                </c:pt>
                <c:pt idx="1">
                  <c:v>50</c:v>
                </c:pt>
                <c:pt idx="2">
                  <c:v>100</c:v>
                </c:pt>
                <c:pt idx="3">
                  <c:v>125</c:v>
                </c:pt>
                <c:pt idx="4">
                  <c:v>300</c:v>
                </c:pt>
                <c:pt idx="5">
                  <c:v>375</c:v>
                </c:pt>
                <c:pt idx="6">
                  <c:v>420</c:v>
                </c:pt>
                <c:pt idx="7">
                  <c:v>459</c:v>
                </c:pt>
                <c:pt idx="8">
                  <c:v>675</c:v>
                </c:pt>
                <c:pt idx="9">
                  <c:v>870</c:v>
                </c:pt>
                <c:pt idx="10">
                  <c:v>1050</c:v>
                </c:pt>
                <c:pt idx="11">
                  <c:v>1650</c:v>
                </c:pt>
                <c:pt idx="12">
                  <c:v>1425</c:v>
                </c:pt>
                <c:pt idx="13">
                  <c:v>1350</c:v>
                </c:pt>
                <c:pt idx="14">
                  <c:v>2150</c:v>
                </c:pt>
                <c:pt idx="15">
                  <c:v>2100</c:v>
                </c:pt>
              </c:numCache>
            </c:numRef>
          </c:val>
          <c:extLst>
            <c:ext xmlns:c16="http://schemas.microsoft.com/office/drawing/2014/chart" uri="{C3380CC4-5D6E-409C-BE32-E72D297353CC}">
              <c16:uniqueId val="{00000001-3BEE-4743-B59F-972E3E19E3AC}"/>
            </c:ext>
          </c:extLst>
        </c:ser>
        <c:ser>
          <c:idx val="2"/>
          <c:order val="2"/>
          <c:tx>
            <c:strRef>
              <c:f>'GB200-300 Tracker'!$B$44</c:f>
              <c:strCache>
                <c:ptCount val="1"/>
                <c:pt idx="0">
                  <c:v>Wistron</c:v>
                </c:pt>
              </c:strCache>
            </c:strRef>
          </c:tx>
          <c:spPr>
            <a:solidFill>
              <a:srgbClr val="226B5A"/>
            </a:solidFill>
          </c:spPr>
          <c:invertIfNegative val="0"/>
          <c:cat>
            <c:strRef>
              <c:f>'GB200-300 Tracker'!$C$39:$R$39</c:f>
              <c:strCache>
                <c:ptCount val="16"/>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strCache>
            </c:strRef>
          </c:cat>
          <c:val>
            <c:numRef>
              <c:f>'GB200-300 Tracker'!$C$44:$R$44</c:f>
              <c:numCache>
                <c:formatCode>#,##0</c:formatCode>
                <c:ptCount val="16"/>
                <c:pt idx="0">
                  <c:v>45</c:v>
                </c:pt>
                <c:pt idx="1">
                  <c:v>80</c:v>
                </c:pt>
                <c:pt idx="2">
                  <c:v>75</c:v>
                </c:pt>
                <c:pt idx="3">
                  <c:v>160</c:v>
                </c:pt>
                <c:pt idx="4">
                  <c:v>950</c:v>
                </c:pt>
                <c:pt idx="5">
                  <c:v>750</c:v>
                </c:pt>
                <c:pt idx="6">
                  <c:v>500</c:v>
                </c:pt>
                <c:pt idx="7">
                  <c:v>150</c:v>
                </c:pt>
                <c:pt idx="8">
                  <c:v>590</c:v>
                </c:pt>
                <c:pt idx="9">
                  <c:v>325</c:v>
                </c:pt>
                <c:pt idx="10">
                  <c:v>1250</c:v>
                </c:pt>
                <c:pt idx="11">
                  <c:v>850</c:v>
                </c:pt>
                <c:pt idx="12">
                  <c:v>950</c:v>
                </c:pt>
                <c:pt idx="13">
                  <c:v>1450</c:v>
                </c:pt>
                <c:pt idx="14">
                  <c:v>1550</c:v>
                </c:pt>
                <c:pt idx="15">
                  <c:v>1325</c:v>
                </c:pt>
              </c:numCache>
            </c:numRef>
          </c:val>
          <c:extLst>
            <c:ext xmlns:c16="http://schemas.microsoft.com/office/drawing/2014/chart" uri="{C3380CC4-5D6E-409C-BE32-E72D297353CC}">
              <c16:uniqueId val="{00000002-3BEE-4743-B59F-972E3E19E3AC}"/>
            </c:ext>
          </c:extLst>
        </c:ser>
        <c:ser>
          <c:idx val="3"/>
          <c:order val="3"/>
          <c:tx>
            <c:strRef>
              <c:f>'GB200-300 Tracker'!$B$45</c:f>
              <c:strCache>
                <c:ptCount val="1"/>
                <c:pt idx="0">
                  <c:v>Wiwynn</c:v>
                </c:pt>
              </c:strCache>
            </c:strRef>
          </c:tx>
          <c:spPr>
            <a:solidFill>
              <a:srgbClr val="8CD5F2"/>
            </a:solidFill>
          </c:spPr>
          <c:invertIfNegative val="0"/>
          <c:cat>
            <c:strRef>
              <c:f>'GB200-300 Tracker'!$C$39:$R$39</c:f>
              <c:strCache>
                <c:ptCount val="16"/>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strCache>
            </c:strRef>
          </c:cat>
          <c:val>
            <c:numRef>
              <c:f>'GB200-300 Tracker'!$C$45:$R$45</c:f>
              <c:numCache>
                <c:formatCode>#,##0</c:formatCode>
                <c:ptCount val="16"/>
                <c:pt idx="0">
                  <c:v>1</c:v>
                </c:pt>
                <c:pt idx="1">
                  <c:v>2</c:v>
                </c:pt>
                <c:pt idx="2">
                  <c:v>2</c:v>
                </c:pt>
                <c:pt idx="3">
                  <c:v>5</c:v>
                </c:pt>
                <c:pt idx="4">
                  <c:v>5</c:v>
                </c:pt>
                <c:pt idx="5">
                  <c:v>10</c:v>
                </c:pt>
                <c:pt idx="6">
                  <c:v>20</c:v>
                </c:pt>
                <c:pt idx="7">
                  <c:v>50</c:v>
                </c:pt>
                <c:pt idx="8">
                  <c:v>50</c:v>
                </c:pt>
                <c:pt idx="9">
                  <c:v>130</c:v>
                </c:pt>
                <c:pt idx="10">
                  <c:v>140</c:v>
                </c:pt>
                <c:pt idx="11">
                  <c:v>160</c:v>
                </c:pt>
                <c:pt idx="12">
                  <c:v>20</c:v>
                </c:pt>
                <c:pt idx="13">
                  <c:v>30</c:v>
                </c:pt>
                <c:pt idx="14">
                  <c:v>0</c:v>
                </c:pt>
                <c:pt idx="15">
                  <c:v>0</c:v>
                </c:pt>
              </c:numCache>
            </c:numRef>
          </c:val>
          <c:extLst>
            <c:ext xmlns:c16="http://schemas.microsoft.com/office/drawing/2014/chart" uri="{C3380CC4-5D6E-409C-BE32-E72D297353CC}">
              <c16:uniqueId val="{00000003-3BEE-4743-B59F-972E3E19E3AC}"/>
            </c:ext>
          </c:extLst>
        </c:ser>
        <c:ser>
          <c:idx val="4"/>
          <c:order val="4"/>
          <c:tx>
            <c:strRef>
              <c:f>'GB200-300 Tracker'!$B$46</c:f>
              <c:strCache>
                <c:ptCount val="1"/>
                <c:pt idx="0">
                  <c:v>Others</c:v>
                </c:pt>
              </c:strCache>
            </c:strRef>
          </c:tx>
          <c:spPr>
            <a:solidFill>
              <a:srgbClr val="D0B86A"/>
            </a:solidFill>
            <a:ln w="25400">
              <a:noFill/>
            </a:ln>
          </c:spPr>
          <c:invertIfNegative val="0"/>
          <c:dLbls>
            <c:dLbl>
              <c:idx val="0"/>
              <c:tx>
                <c:rich>
                  <a:bodyPr/>
                  <a:lstStyle/>
                  <a:p>
                    <a:fld id="{1C1BFB65-0B13-4E94-824E-6AD875F56A6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BEE-4743-B59F-972E3E19E3AC}"/>
                </c:ext>
              </c:extLst>
            </c:dLbl>
            <c:dLbl>
              <c:idx val="1"/>
              <c:tx>
                <c:rich>
                  <a:bodyPr/>
                  <a:lstStyle/>
                  <a:p>
                    <a:fld id="{3F44ACD8-52DC-4724-B4B0-861F6894C92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BEE-4743-B59F-972E3E19E3AC}"/>
                </c:ext>
              </c:extLst>
            </c:dLbl>
            <c:dLbl>
              <c:idx val="2"/>
              <c:tx>
                <c:rich>
                  <a:bodyPr/>
                  <a:lstStyle/>
                  <a:p>
                    <a:fld id="{25F8BC50-D4B1-45E6-A017-E11C8B6FFB5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BEE-4743-B59F-972E3E19E3AC}"/>
                </c:ext>
              </c:extLst>
            </c:dLbl>
            <c:dLbl>
              <c:idx val="3"/>
              <c:tx>
                <c:rich>
                  <a:bodyPr/>
                  <a:lstStyle/>
                  <a:p>
                    <a:fld id="{7D96ACFB-3C3B-4702-8010-CAD29952F17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BEE-4743-B59F-972E3E19E3AC}"/>
                </c:ext>
              </c:extLst>
            </c:dLbl>
            <c:dLbl>
              <c:idx val="4"/>
              <c:tx>
                <c:rich>
                  <a:bodyPr/>
                  <a:lstStyle/>
                  <a:p>
                    <a:fld id="{E0CA6706-437D-49CD-BEC2-374D1DE28456}"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BEE-4743-B59F-972E3E19E3AC}"/>
                </c:ext>
              </c:extLst>
            </c:dLbl>
            <c:dLbl>
              <c:idx val="5"/>
              <c:tx>
                <c:rich>
                  <a:bodyPr/>
                  <a:lstStyle/>
                  <a:p>
                    <a:fld id="{FD22139B-56A4-40EF-A54E-CDBDB3DFD56B}"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BEE-4743-B59F-972E3E19E3AC}"/>
                </c:ext>
              </c:extLst>
            </c:dLbl>
            <c:dLbl>
              <c:idx val="6"/>
              <c:tx>
                <c:rich>
                  <a:bodyPr/>
                  <a:lstStyle/>
                  <a:p>
                    <a:fld id="{211E6157-9700-48BA-AE2D-F54B8CFF9552}"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BEE-4743-B59F-972E3E19E3AC}"/>
                </c:ext>
              </c:extLst>
            </c:dLbl>
            <c:dLbl>
              <c:idx val="7"/>
              <c:tx>
                <c:rich>
                  <a:bodyPr/>
                  <a:lstStyle/>
                  <a:p>
                    <a:fld id="{C5601687-F881-4AB1-851F-389BFC40478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BEE-4743-B59F-972E3E19E3AC}"/>
                </c:ext>
              </c:extLst>
            </c:dLbl>
            <c:dLbl>
              <c:idx val="8"/>
              <c:layout>
                <c:manualLayout>
                  <c:x val="0"/>
                  <c:y val="-4.3795815513503027E-2"/>
                </c:manualLayout>
              </c:layout>
              <c:tx>
                <c:rich>
                  <a:bodyPr/>
                  <a:lstStyle/>
                  <a:p>
                    <a:fld id="{06500A60-86A8-41D4-8B2D-A64C3BC0CE6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BEE-4743-B59F-972E3E19E3AC}"/>
                </c:ext>
              </c:extLst>
            </c:dLbl>
            <c:dLbl>
              <c:idx val="9"/>
              <c:layout>
                <c:manualLayout>
                  <c:x val="-1.02586823229275E-16"/>
                  <c:y val="-4.2735944400019411E-2"/>
                </c:manualLayout>
              </c:layout>
              <c:tx>
                <c:rich>
                  <a:bodyPr/>
                  <a:lstStyle/>
                  <a:p>
                    <a:fld id="{C63F3898-4AD2-4A7E-AD79-FDF6E8715A4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3BEE-4743-B59F-972E3E19E3AC}"/>
                </c:ext>
              </c:extLst>
            </c:dLbl>
            <c:dLbl>
              <c:idx val="10"/>
              <c:layout>
                <c:manualLayout>
                  <c:x val="-1.02586823229275E-16"/>
                  <c:y val="-5.0607966545488346E-2"/>
                </c:manualLayout>
              </c:layout>
              <c:tx>
                <c:rich>
                  <a:bodyPr/>
                  <a:lstStyle/>
                  <a:p>
                    <a:fld id="{AB66BE14-4390-4FDF-8C80-6211432419E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3BEE-4743-B59F-972E3E19E3AC}"/>
                </c:ext>
              </c:extLst>
            </c:dLbl>
            <c:dLbl>
              <c:idx val="11"/>
              <c:layout>
                <c:manualLayout>
                  <c:x val="1.02586823229275E-16"/>
                  <c:y val="-5.1989596805898708E-2"/>
                </c:manualLayout>
              </c:layout>
              <c:tx>
                <c:rich>
                  <a:bodyPr/>
                  <a:lstStyle/>
                  <a:p>
                    <a:fld id="{EB924A02-1E47-4D3A-AD2C-540191F749D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3BEE-4743-B59F-972E3E19E3AC}"/>
                </c:ext>
              </c:extLst>
            </c:dLbl>
            <c:dLbl>
              <c:idx val="12"/>
              <c:layout>
                <c:manualLayout>
                  <c:x val="-1.02586823229275E-16"/>
                  <c:y val="-9.1897225557030185E-2"/>
                </c:manualLayout>
              </c:layout>
              <c:tx>
                <c:rich>
                  <a:bodyPr/>
                  <a:lstStyle/>
                  <a:p>
                    <a:fld id="{CE1492F9-C594-46F9-B566-29B96C6EFEC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BEE-4743-B59F-972E3E19E3AC}"/>
                </c:ext>
              </c:extLst>
            </c:dLbl>
            <c:dLbl>
              <c:idx val="13"/>
              <c:layout>
                <c:manualLayout>
                  <c:x val="-1.02586823229275E-16"/>
                  <c:y val="-9.6315699525484383E-2"/>
                </c:manualLayout>
              </c:layout>
              <c:tx>
                <c:rich>
                  <a:bodyPr/>
                  <a:lstStyle/>
                  <a:p>
                    <a:fld id="{17D5D048-EFA0-48E8-99C0-EEE8A885ECE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3BEE-4743-B59F-972E3E19E3AC}"/>
                </c:ext>
              </c:extLst>
            </c:dLbl>
            <c:dLbl>
              <c:idx val="14"/>
              <c:layout>
                <c:manualLayout>
                  <c:x val="-2.0517364645855E-16"/>
                  <c:y val="-7.7323118623278758E-2"/>
                </c:manualLayout>
              </c:layout>
              <c:tx>
                <c:rich>
                  <a:bodyPr/>
                  <a:lstStyle/>
                  <a:p>
                    <a:fld id="{C58F6B19-6F02-4C8A-A6B5-22299E2C93E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3BEE-4743-B59F-972E3E19E3AC}"/>
                </c:ext>
              </c:extLst>
            </c:dLbl>
            <c:dLbl>
              <c:idx val="15"/>
              <c:layout>
                <c:manualLayout>
                  <c:x val="0"/>
                  <c:y val="-7.2202049271699056E-2"/>
                </c:manualLayout>
              </c:layout>
              <c:tx>
                <c:rich>
                  <a:bodyPr/>
                  <a:lstStyle/>
                  <a:p>
                    <a:fld id="{6F1B2411-EA72-4085-8517-9604523E04B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3BEE-4743-B59F-972E3E19E3AC}"/>
                </c:ext>
              </c:extLst>
            </c:dLbl>
            <c:spPr>
              <a:noFill/>
              <a:ln>
                <a:noFill/>
              </a:ln>
              <a:effectLst/>
            </c:sp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'GB200-300 Tracker'!$C$39:$R$39</c:f>
              <c:strCache>
                <c:ptCount val="16"/>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strCache>
            </c:strRef>
          </c:cat>
          <c:val>
            <c:numRef>
              <c:f>'GB200-300 Tracker'!$C$46:$R$46</c:f>
              <c:numCache>
                <c:formatCode>#,##0</c:formatCode>
                <c:ptCount val="16"/>
                <c:pt idx="0">
                  <c:v>1</c:v>
                </c:pt>
                <c:pt idx="1">
                  <c:v>1</c:v>
                </c:pt>
                <c:pt idx="2">
                  <c:v>1</c:v>
                </c:pt>
                <c:pt idx="3">
                  <c:v>2</c:v>
                </c:pt>
                <c:pt idx="4">
                  <c:v>4</c:v>
                </c:pt>
                <c:pt idx="5">
                  <c:v>10</c:v>
                </c:pt>
                <c:pt idx="6">
                  <c:v>100</c:v>
                </c:pt>
                <c:pt idx="7">
                  <c:v>200</c:v>
                </c:pt>
                <c:pt idx="8">
                  <c:v>250</c:v>
                </c:pt>
                <c:pt idx="9">
                  <c:v>350</c:v>
                </c:pt>
                <c:pt idx="10">
                  <c:v>450</c:v>
                </c:pt>
                <c:pt idx="11">
                  <c:v>425</c:v>
                </c:pt>
                <c:pt idx="12">
                  <c:v>1150</c:v>
                </c:pt>
                <c:pt idx="13">
                  <c:v>1100</c:v>
                </c:pt>
                <c:pt idx="14">
                  <c:v>1100</c:v>
                </c:pt>
                <c:pt idx="15">
                  <c:v>1150</c:v>
                </c:pt>
              </c:numCache>
            </c:numRef>
          </c:val>
          <c:extLst>
            <c:ext xmlns:c15="http://schemas.microsoft.com/office/drawing/2012/chart" uri="{02D57815-91ED-43cb-92C2-25804820EDAC}">
              <c15:datalabelsRange>
                <c15:f>'GB200-300 Tracker'!$C$48:$R$48</c15:f>
                <c15:dlblRangeCache>
                  <c:ptCount val="16"/>
                  <c:pt idx="0">
                    <c:v>0.1</c:v>
                  </c:pt>
                  <c:pt idx="1">
                    <c:v>0.3</c:v>
                  </c:pt>
                  <c:pt idx="2">
                    <c:v>0.5</c:v>
                  </c:pt>
                  <c:pt idx="3">
                    <c:v>0.7</c:v>
                  </c:pt>
                  <c:pt idx="4">
                    <c:v>1.8</c:v>
                  </c:pt>
                  <c:pt idx="5">
                    <c:v>1.8</c:v>
                  </c:pt>
                  <c:pt idx="6">
                    <c:v>1.7</c:v>
                  </c:pt>
                  <c:pt idx="7">
                    <c:v>2.4</c:v>
                  </c:pt>
                  <c:pt idx="8">
                    <c:v>4.2</c:v>
                  </c:pt>
                  <c:pt idx="9">
                    <c:v>4.2</c:v>
                  </c:pt>
                  <c:pt idx="10">
                    <c:v>5.4</c:v>
                  </c:pt>
                  <c:pt idx="11">
                    <c:v>5.9</c:v>
                  </c:pt>
                  <c:pt idx="12">
                    <c:v>5.9</c:v>
                  </c:pt>
                  <c:pt idx="13">
                    <c:v>6.3</c:v>
                  </c:pt>
                  <c:pt idx="14">
                    <c:v>8.5</c:v>
                  </c:pt>
                  <c:pt idx="15">
                    <c:v>8.3</c:v>
                  </c:pt>
                </c15:dlblRangeCache>
              </c15:datalabelsRange>
            </c:ext>
            <c:ext xmlns:c16="http://schemas.microsoft.com/office/drawing/2014/chart" uri="{C3380CC4-5D6E-409C-BE32-E72D297353CC}">
              <c16:uniqueId val="{00000014-3BEE-4743-B59F-972E3E19E3AC}"/>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scaling>
        <c:delete val="1"/>
        <c:axPos val="l"/>
        <c:numFmt formatCode="#,##0" sourceLinked="1"/>
        <c:majorTickMark val="out"/>
        <c:minorTickMark val="none"/>
        <c:tickLblPos val="nextTo"/>
        <c:crossAx val="96755072"/>
        <c:crosses val="autoZero"/>
        <c:crossBetween val="between"/>
        <c:majorUnit val="1000"/>
      </c:valAx>
      <c:spPr>
        <a:noFill/>
        <a:extLst>
          <a:ext uri="{909E8E84-426E-40DD-AFC4-6F175D3DCCD1}">
            <a14:hiddenFill xmlns:a14="http://schemas.microsoft.com/office/drawing/2010/main">
              <a:solidFill>
                <a:sysClr val="window" lastClr="FFFFFF"/>
              </a:solidFill>
            </a14:hiddenFill>
          </a:ext>
        </a:extLst>
      </c:spPr>
    </c:plotArea>
    <c:legend>
      <c:legendPos val="t"/>
      <c:layout>
        <c:manualLayout>
          <c:xMode val="edge"/>
          <c:yMode val="edge"/>
          <c:x val="0.19927427821522306"/>
          <c:y val="0.92222222222222228"/>
          <c:w val="0.60145144356955382"/>
          <c:h val="7.7277631962671331E-2"/>
        </c:manualLayout>
      </c:layout>
      <c:overlay val="0"/>
      <c:spPr>
        <a:solidFill>
          <a:srgbClr val="FFFFFF"/>
        </a:solidFill>
      </c:spPr>
    </c:legend>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NVL72-equivalent rack mix breakdown (2025)</a:t>
            </a:r>
          </a:p>
        </c:rich>
      </c:tx>
      <c:layout>
        <c:manualLayout>
          <c:xMode val="edge"/>
          <c:yMode val="edge"/>
          <c:x val="0"/>
          <c:y val="0"/>
        </c:manualLayout>
      </c:layout>
      <c:overlay val="0"/>
    </c:title>
    <c:autoTitleDeleted val="0"/>
    <c:plotArea>
      <c:layout>
        <c:manualLayout>
          <c:layoutTarget val="inner"/>
          <c:xMode val="edge"/>
          <c:yMode val="edge"/>
          <c:x val="0.20186748715234124"/>
          <c:y val="9.7325303006318281E-2"/>
          <c:w val="0.5672268907563025"/>
          <c:h val="0.90267469699368175"/>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6F6D-48AE-91D0-254D1A261148}"/>
              </c:ext>
            </c:extLst>
          </c:dPt>
          <c:dPt>
            <c:idx val="1"/>
            <c:bubble3D val="0"/>
            <c:spPr>
              <a:solidFill>
                <a:srgbClr val="EADFBC"/>
              </a:solidFill>
            </c:spPr>
            <c:extLst>
              <c:ext xmlns:c16="http://schemas.microsoft.com/office/drawing/2014/chart" uri="{C3380CC4-5D6E-409C-BE32-E72D297353CC}">
                <c16:uniqueId val="{00000002-6F6D-48AE-91D0-254D1A261148}"/>
              </c:ext>
            </c:extLst>
          </c:dPt>
          <c:dPt>
            <c:idx val="2"/>
            <c:bubble3D val="0"/>
            <c:spPr>
              <a:solidFill>
                <a:srgbClr val="226B5A"/>
              </a:solidFill>
            </c:spPr>
            <c:extLst>
              <c:ext xmlns:c16="http://schemas.microsoft.com/office/drawing/2014/chart" uri="{C3380CC4-5D6E-409C-BE32-E72D297353CC}">
                <c16:uniqueId val="{00000004-6F6D-48AE-91D0-254D1A261148}"/>
              </c:ext>
            </c:extLst>
          </c:dPt>
          <c:dPt>
            <c:idx val="3"/>
            <c:bubble3D val="0"/>
            <c:spPr>
              <a:solidFill>
                <a:srgbClr val="8CD5F2"/>
              </a:solidFill>
            </c:spPr>
            <c:extLst>
              <c:ext xmlns:c16="http://schemas.microsoft.com/office/drawing/2014/chart" uri="{C3380CC4-5D6E-409C-BE32-E72D297353CC}">
                <c16:uniqueId val="{00000006-6F6D-48AE-91D0-254D1A261148}"/>
              </c:ext>
            </c:extLst>
          </c:dPt>
          <c:dPt>
            <c:idx val="4"/>
            <c:bubble3D val="0"/>
            <c:spPr>
              <a:solidFill>
                <a:srgbClr val="D0B86A"/>
              </a:solidFill>
            </c:spPr>
            <c:extLst>
              <c:ext xmlns:c16="http://schemas.microsoft.com/office/drawing/2014/chart" uri="{C3380CC4-5D6E-409C-BE32-E72D297353CC}">
                <c16:uniqueId val="{00000008-6F6D-48AE-91D0-254D1A261148}"/>
              </c:ext>
            </c:extLst>
          </c:dPt>
          <c:dPt>
            <c:idx val="5"/>
            <c:bubble3D val="0"/>
            <c:spPr>
              <a:solidFill>
                <a:srgbClr val="93DECC"/>
              </a:solidFill>
            </c:spPr>
            <c:extLst>
              <c:ext xmlns:c16="http://schemas.microsoft.com/office/drawing/2014/chart" uri="{C3380CC4-5D6E-409C-BE32-E72D297353CC}">
                <c16:uniqueId val="{0000000A-6F6D-48AE-91D0-254D1A261148}"/>
              </c:ext>
            </c:extLst>
          </c:dPt>
          <c:dPt>
            <c:idx val="6"/>
            <c:bubble3D val="0"/>
            <c:spPr>
              <a:solidFill>
                <a:srgbClr val="6769E2"/>
              </a:solidFill>
            </c:spPr>
            <c:extLst>
              <c:ext xmlns:c16="http://schemas.microsoft.com/office/drawing/2014/chart" uri="{C3380CC4-5D6E-409C-BE32-E72D297353CC}">
                <c16:uniqueId val="{0000000C-6F6D-48AE-91D0-254D1A261148}"/>
              </c:ext>
            </c:extLst>
          </c:dPt>
          <c:dPt>
            <c:idx val="7"/>
            <c:bubble3D val="0"/>
            <c:spPr>
              <a:solidFill>
                <a:srgbClr val="606165"/>
              </a:solidFill>
            </c:spPr>
            <c:extLst>
              <c:ext xmlns:c16="http://schemas.microsoft.com/office/drawing/2014/chart" uri="{C3380CC4-5D6E-409C-BE32-E72D297353CC}">
                <c16:uniqueId val="{0000000E-6F6D-48AE-91D0-254D1A261148}"/>
              </c:ext>
            </c:extLst>
          </c:dPt>
          <c:dPt>
            <c:idx val="8"/>
            <c:bubble3D val="0"/>
            <c:spPr>
              <a:solidFill>
                <a:srgbClr val="2673B2"/>
              </a:solidFill>
            </c:spPr>
            <c:extLst>
              <c:ext xmlns:c16="http://schemas.microsoft.com/office/drawing/2014/chart" uri="{C3380CC4-5D6E-409C-BE32-E72D297353CC}">
                <c16:uniqueId val="{00000010-6F6D-48AE-91D0-254D1A261148}"/>
              </c:ext>
            </c:extLst>
          </c:dPt>
          <c:dPt>
            <c:idx val="9"/>
            <c:bubble3D val="0"/>
            <c:spPr>
              <a:solidFill>
                <a:srgbClr val="F6F1E1"/>
              </a:solidFill>
            </c:spPr>
            <c:extLst>
              <c:ext xmlns:c16="http://schemas.microsoft.com/office/drawing/2014/chart" uri="{C3380CC4-5D6E-409C-BE32-E72D297353CC}">
                <c16:uniqueId val="{00000012-6F6D-48AE-91D0-254D1A261148}"/>
              </c:ext>
            </c:extLst>
          </c:dPt>
          <c:dPt>
            <c:idx val="10"/>
            <c:bubble3D val="0"/>
            <c:spPr>
              <a:solidFill>
                <a:srgbClr val="38957F"/>
              </a:solidFill>
            </c:spPr>
            <c:extLst>
              <c:ext xmlns:c16="http://schemas.microsoft.com/office/drawing/2014/chart" uri="{C3380CC4-5D6E-409C-BE32-E72D297353CC}">
                <c16:uniqueId val="{00000014-6F6D-48AE-91D0-254D1A261148}"/>
              </c:ext>
            </c:extLst>
          </c:dPt>
          <c:dPt>
            <c:idx val="11"/>
            <c:bubble3D val="0"/>
            <c:spPr>
              <a:solidFill>
                <a:srgbClr val="D9F1FB"/>
              </a:solidFill>
            </c:spPr>
            <c:extLst>
              <c:ext xmlns:c16="http://schemas.microsoft.com/office/drawing/2014/chart" uri="{C3380CC4-5D6E-409C-BE32-E72D297353CC}">
                <c16:uniqueId val="{00000016-6F6D-48AE-91D0-254D1A261148}"/>
              </c:ext>
            </c:extLst>
          </c:dPt>
          <c:dPt>
            <c:idx val="12"/>
            <c:bubble3D val="0"/>
            <c:spPr>
              <a:solidFill>
                <a:srgbClr val="E0D19E"/>
              </a:solidFill>
            </c:spPr>
            <c:extLst>
              <c:ext xmlns:c16="http://schemas.microsoft.com/office/drawing/2014/chart" uri="{C3380CC4-5D6E-409C-BE32-E72D297353CC}">
                <c16:uniqueId val="{00000018-6F6D-48AE-91D0-254D1A261148}"/>
              </c:ext>
            </c:extLst>
          </c:dPt>
          <c:dPt>
            <c:idx val="13"/>
            <c:bubble3D val="0"/>
            <c:spPr>
              <a:solidFill>
                <a:srgbClr val="E2F6F1"/>
              </a:solidFill>
            </c:spPr>
            <c:extLst>
              <c:ext xmlns:c16="http://schemas.microsoft.com/office/drawing/2014/chart" uri="{C3380CC4-5D6E-409C-BE32-E72D297353CC}">
                <c16:uniqueId val="{0000001A-6F6D-48AE-91D0-254D1A261148}"/>
              </c:ext>
            </c:extLst>
          </c:dPt>
          <c:dPt>
            <c:idx val="14"/>
            <c:bubble3D val="0"/>
            <c:spPr>
              <a:solidFill>
                <a:srgbClr val="7072BB"/>
              </a:solidFill>
            </c:spPr>
            <c:extLst>
              <c:ext xmlns:c16="http://schemas.microsoft.com/office/drawing/2014/chart" uri="{C3380CC4-5D6E-409C-BE32-E72D297353CC}">
                <c16:uniqueId val="{0000001C-6F6D-48AE-91D0-254D1A261148}"/>
              </c:ext>
            </c:extLst>
          </c:dPt>
          <c:dPt>
            <c:idx val="15"/>
            <c:bubble3D val="0"/>
            <c:spPr>
              <a:solidFill>
                <a:srgbClr val="93959B"/>
              </a:solidFill>
            </c:spPr>
            <c:extLst>
              <c:ext xmlns:c16="http://schemas.microsoft.com/office/drawing/2014/chart" uri="{C3380CC4-5D6E-409C-BE32-E72D297353CC}">
                <c16:uniqueId val="{0000001E-6F6D-48AE-91D0-254D1A261148}"/>
              </c:ext>
            </c:extLst>
          </c:dPt>
          <c:dPt>
            <c:idx val="16"/>
            <c:bubble3D val="0"/>
            <c:extLst>
              <c:ext xmlns:c16="http://schemas.microsoft.com/office/drawing/2014/chart" uri="{C3380CC4-5D6E-409C-BE32-E72D297353CC}">
                <c16:uniqueId val="{0000001F-6F6D-48AE-91D0-254D1A261148}"/>
              </c:ext>
            </c:extLst>
          </c:dPt>
          <c:dPt>
            <c:idx val="17"/>
            <c:bubble3D val="0"/>
            <c:extLst>
              <c:ext xmlns:c16="http://schemas.microsoft.com/office/drawing/2014/chart" uri="{C3380CC4-5D6E-409C-BE32-E72D297353CC}">
                <c16:uniqueId val="{00000020-6F6D-48AE-91D0-254D1A261148}"/>
              </c:ext>
            </c:extLst>
          </c:dPt>
          <c:dLbls>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0-6F6D-48AE-91D0-254D1A261148}"/>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'GB200-300 Tracker'!$AQ$40:$AQ$41</c:f>
              <c:strCache>
                <c:ptCount val="2"/>
                <c:pt idx="0">
                  <c:v>GB200</c:v>
                </c:pt>
                <c:pt idx="1">
                  <c:v>GB300</c:v>
                </c:pt>
              </c:strCache>
            </c:strRef>
          </c:cat>
          <c:val>
            <c:numRef>
              <c:f>'GB200-300 Tracker'!$BE$47:$BE$48</c:f>
              <c:numCache>
                <c:formatCode>0%</c:formatCode>
                <c:ptCount val="2"/>
                <c:pt idx="0">
                  <c:v>0.83747147105608966</c:v>
                </c:pt>
                <c:pt idx="1">
                  <c:v>0.16252852894391037</c:v>
                </c:pt>
              </c:numCache>
            </c:numRef>
          </c:val>
          <c:extLst>
            <c:ext xmlns:c16="http://schemas.microsoft.com/office/drawing/2014/chart" uri="{C3380CC4-5D6E-409C-BE32-E72D297353CC}">
              <c16:uniqueId val="{00000021-6F6D-48AE-91D0-254D1A261148}"/>
            </c:ext>
          </c:extLst>
        </c:ser>
        <c:dLbls>
          <c:showLegendKey val="0"/>
          <c:showVal val="0"/>
          <c:showCatName val="0"/>
          <c:showSerName val="0"/>
          <c:showPercent val="0"/>
          <c:showBubbleSize val="0"/>
          <c:showLeaderLines val="1"/>
        </c:dLbls>
        <c:firstSliceAng val="0"/>
      </c:pieChart>
      <c:spPr>
        <a:noFill/>
        <a:extLst>
          <a:ext uri="{909E8E84-426E-40DD-AFC4-6F175D3DCCD1}">
            <a14:hiddenFill xmlns:a14="http://schemas.microsoft.com/office/drawing/2010/main">
              <a:no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 racks (Monthly)</a:t>
            </a:r>
          </a:p>
        </c:rich>
      </c:tx>
      <c:layout>
        <c:manualLayout>
          <c:xMode val="edge"/>
          <c:yMode val="edge"/>
          <c:x val="0"/>
          <c:y val="0"/>
        </c:manualLayout>
      </c:layout>
      <c:overlay val="0"/>
    </c:title>
    <c:autoTitleDeleted val="0"/>
    <c:plotArea>
      <c:layout>
        <c:manualLayout>
          <c:xMode val="edge"/>
          <c:yMode val="edge"/>
          <c:x val="1.7094017094017096E-2"/>
          <c:y val="8.0337552742616031E-2"/>
          <c:w val="0.98290598290598286"/>
          <c:h val="0.85400843881856536"/>
        </c:manualLayout>
      </c:layout>
      <c:barChart>
        <c:barDir val="col"/>
        <c:grouping val="stacked"/>
        <c:varyColors val="0"/>
        <c:ser>
          <c:idx val="0"/>
          <c:order val="0"/>
          <c:tx>
            <c:strRef>
              <c:f>'GB200-300 Tracker'!$B$40</c:f>
              <c:strCache>
                <c:ptCount val="1"/>
                <c:pt idx="0">
                  <c:v>GB racks (NVL72)</c:v>
                </c:pt>
              </c:strCache>
            </c:strRef>
          </c:tx>
          <c:invertIfNegative val="0"/>
          <c:dPt>
            <c:idx val="7"/>
            <c:invertIfNegative val="0"/>
            <c:bubble3D val="0"/>
            <c:spPr>
              <a:solidFill>
                <a:srgbClr val="137CB1">
                  <a:lumMod val="20000"/>
                  <a:lumOff val="80000"/>
                </a:srgbClr>
              </a:solidFill>
            </c:spPr>
            <c:extLst>
              <c:ext xmlns:c16="http://schemas.microsoft.com/office/drawing/2014/chart" uri="{C3380CC4-5D6E-409C-BE32-E72D297353CC}">
                <c16:uniqueId val="{00000001-10BE-48C0-8912-275515E9C5B0}"/>
              </c:ext>
            </c:extLst>
          </c:dPt>
          <c:dPt>
            <c:idx val="8"/>
            <c:invertIfNegative val="0"/>
            <c:bubble3D val="0"/>
            <c:spPr>
              <a:solidFill>
                <a:srgbClr val="137CB1">
                  <a:lumMod val="20000"/>
                  <a:lumOff val="80000"/>
                </a:srgbClr>
              </a:solidFill>
            </c:spPr>
            <c:extLst>
              <c:ext xmlns:c16="http://schemas.microsoft.com/office/drawing/2014/chart" uri="{C3380CC4-5D6E-409C-BE32-E72D297353CC}">
                <c16:uniqueId val="{00000003-10BE-48C0-8912-275515E9C5B0}"/>
              </c:ext>
            </c:extLst>
          </c:dPt>
          <c:dPt>
            <c:idx val="9"/>
            <c:invertIfNegative val="0"/>
            <c:bubble3D val="0"/>
            <c:spPr>
              <a:solidFill>
                <a:srgbClr val="137CB1">
                  <a:lumMod val="20000"/>
                  <a:lumOff val="80000"/>
                </a:srgbClr>
              </a:solidFill>
            </c:spPr>
            <c:extLst>
              <c:ext xmlns:c16="http://schemas.microsoft.com/office/drawing/2014/chart" uri="{C3380CC4-5D6E-409C-BE32-E72D297353CC}">
                <c16:uniqueId val="{00000005-10BE-48C0-8912-275515E9C5B0}"/>
              </c:ext>
            </c:extLst>
          </c:dPt>
          <c:dPt>
            <c:idx val="10"/>
            <c:invertIfNegative val="0"/>
            <c:bubble3D val="0"/>
            <c:spPr>
              <a:solidFill>
                <a:srgbClr val="137CB1">
                  <a:lumMod val="20000"/>
                  <a:lumOff val="80000"/>
                </a:srgbClr>
              </a:solidFill>
            </c:spPr>
            <c:extLst>
              <c:ext xmlns:c16="http://schemas.microsoft.com/office/drawing/2014/chart" uri="{C3380CC4-5D6E-409C-BE32-E72D297353CC}">
                <c16:uniqueId val="{00000007-10BE-48C0-8912-275515E9C5B0}"/>
              </c:ext>
            </c:extLst>
          </c:dPt>
          <c:dPt>
            <c:idx val="11"/>
            <c:invertIfNegative val="0"/>
            <c:bubble3D val="0"/>
            <c:spPr>
              <a:solidFill>
                <a:srgbClr val="137CB1">
                  <a:lumMod val="20000"/>
                  <a:lumOff val="80000"/>
                </a:srgbClr>
              </a:solidFill>
            </c:spPr>
            <c:extLst>
              <c:ext xmlns:c16="http://schemas.microsoft.com/office/drawing/2014/chart" uri="{C3380CC4-5D6E-409C-BE32-E72D297353CC}">
                <c16:uniqueId val="{00000009-10BE-48C0-8912-275515E9C5B0}"/>
              </c:ext>
            </c:extLst>
          </c:dPt>
          <c:dLbls>
            <c:dLbl>
              <c:idx val="0"/>
              <c:layout>
                <c:manualLayout>
                  <c:x val="0"/>
                  <c:y val="-4.8827565932493169E-2"/>
                </c:manualLayout>
              </c:layout>
              <c:tx>
                <c:rich>
                  <a:bodyPr/>
                  <a:lstStyle/>
                  <a:p>
                    <a:fld id="{96EF7198-D7CD-4B87-9098-23EFE00DCAE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0BE-48C0-8912-275515E9C5B0}"/>
                </c:ext>
              </c:extLst>
            </c:dLbl>
            <c:dLbl>
              <c:idx val="1"/>
              <c:layout>
                <c:manualLayout>
                  <c:x val="-1.2823352903659375E-17"/>
                  <c:y val="-6.9797471078600043E-2"/>
                </c:manualLayout>
              </c:layout>
              <c:tx>
                <c:rich>
                  <a:bodyPr/>
                  <a:lstStyle/>
                  <a:p>
                    <a:fld id="{7AD63844-BF91-4617-9EB8-63B4989498F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0BE-48C0-8912-275515E9C5B0}"/>
                </c:ext>
              </c:extLst>
            </c:dLbl>
            <c:dLbl>
              <c:idx val="2"/>
              <c:layout>
                <c:manualLayout>
                  <c:x val="-2.564670580731875E-17"/>
                  <c:y val="-7.5968917011458761E-2"/>
                </c:manualLayout>
              </c:layout>
              <c:tx>
                <c:rich>
                  <a:bodyPr/>
                  <a:lstStyle/>
                  <a:p>
                    <a:fld id="{41818194-FAD2-48CE-829E-9E07B2990BD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0BE-48C0-8912-275515E9C5B0}"/>
                </c:ext>
              </c:extLst>
            </c:dLbl>
            <c:dLbl>
              <c:idx val="3"/>
              <c:layout>
                <c:manualLayout>
                  <c:x val="0"/>
                  <c:y val="-0.11748639644524722"/>
                </c:manualLayout>
              </c:layout>
              <c:tx>
                <c:rich>
                  <a:bodyPr/>
                  <a:lstStyle/>
                  <a:p>
                    <a:fld id="{27F70A92-EDC1-44AF-BF9D-0F27B4FCE9E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10BE-48C0-8912-275515E9C5B0}"/>
                </c:ext>
              </c:extLst>
            </c:dLbl>
            <c:dLbl>
              <c:idx val="4"/>
              <c:layout>
                <c:manualLayout>
                  <c:x val="0"/>
                  <c:y val="-0.18885292688295915"/>
                </c:manualLayout>
              </c:layout>
              <c:tx>
                <c:rich>
                  <a:bodyPr/>
                  <a:lstStyle/>
                  <a:p>
                    <a:fld id="{DA89E8A6-FF33-4F4A-ABF2-C24992EFCD5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0BE-48C0-8912-275515E9C5B0}"/>
                </c:ext>
              </c:extLst>
            </c:dLbl>
            <c:dLbl>
              <c:idx val="5"/>
              <c:layout>
                <c:manualLayout>
                  <c:x val="0"/>
                  <c:y val="-0.19552863797067385"/>
                </c:manualLayout>
              </c:layout>
              <c:tx>
                <c:rich>
                  <a:bodyPr/>
                  <a:lstStyle/>
                  <a:p>
                    <a:fld id="{BA895FC0-4137-46C4-9966-820B6DCCAAF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10BE-48C0-8912-275515E9C5B0}"/>
                </c:ext>
              </c:extLst>
            </c:dLbl>
            <c:dLbl>
              <c:idx val="6"/>
              <c:layout>
                <c:manualLayout>
                  <c:x val="0"/>
                  <c:y val="-0.1715109879869553"/>
                </c:manualLayout>
              </c:layout>
              <c:tx>
                <c:rich>
                  <a:bodyPr/>
                  <a:lstStyle/>
                  <a:p>
                    <a:fld id="{07CF6C54-8CA1-4D48-B6F3-0EE71D3D67E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10BE-48C0-8912-275515E9C5B0}"/>
                </c:ext>
              </c:extLst>
            </c:dLbl>
            <c:dLbl>
              <c:idx val="7"/>
              <c:layout>
                <c:manualLayout>
                  <c:x val="-1.02586823229275E-16"/>
                  <c:y val="-0.32043307726228332"/>
                </c:manualLayout>
              </c:layout>
              <c:tx>
                <c:rich>
                  <a:bodyPr/>
                  <a:lstStyle/>
                  <a:p>
                    <a:fld id="{D5403688-1766-4A58-A766-9A243046B9D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0BE-48C0-8912-275515E9C5B0}"/>
                </c:ext>
              </c:extLst>
            </c:dLbl>
            <c:dLbl>
              <c:idx val="8"/>
              <c:layout>
                <c:manualLayout>
                  <c:x val="0"/>
                  <c:y val="-0.37049000929057557"/>
                </c:manualLayout>
              </c:layout>
              <c:tx>
                <c:rich>
                  <a:bodyPr/>
                  <a:lstStyle/>
                  <a:p>
                    <a:fld id="{079FB40E-2EEF-472D-9845-02AE2C62457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0BE-48C0-8912-275515E9C5B0}"/>
                </c:ext>
              </c:extLst>
            </c:dLbl>
            <c:dLbl>
              <c:idx val="9"/>
              <c:layout>
                <c:manualLayout>
                  <c:x val="-1.02586823229275E-16"/>
                  <c:y val="-0.36100145512497267"/>
                </c:manualLayout>
              </c:layout>
              <c:tx>
                <c:rich>
                  <a:bodyPr/>
                  <a:lstStyle/>
                  <a:p>
                    <a:fld id="{FB9275BD-A9A9-49B1-A6FA-5A6256EBF53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0BE-48C0-8912-275515E9C5B0}"/>
                </c:ext>
              </c:extLst>
            </c:dLbl>
            <c:dLbl>
              <c:idx val="10"/>
              <c:layout>
                <c:manualLayout>
                  <c:x val="-1.02586823229275E-16"/>
                  <c:y val="-0.37909944010391944"/>
                </c:manualLayout>
              </c:layout>
              <c:tx>
                <c:rich>
                  <a:bodyPr/>
                  <a:lstStyle/>
                  <a:p>
                    <a:fld id="{7490375C-8AB6-458B-8F08-58CF53D17D1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0BE-48C0-8912-275515E9C5B0}"/>
                </c:ext>
              </c:extLst>
            </c:dLbl>
            <c:dLbl>
              <c:idx val="11"/>
              <c:layout>
                <c:manualLayout>
                  <c:x val="0"/>
                  <c:y val="-0.39397420722414339"/>
                </c:manualLayout>
              </c:layout>
              <c:tx>
                <c:rich>
                  <a:bodyPr/>
                  <a:lstStyle/>
                  <a:p>
                    <a:fld id="{ACEE97B7-DBBA-4A7D-B8C5-5F89C8AA4FC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0BE-48C0-8912-275515E9C5B0}"/>
                </c:ext>
              </c:extLst>
            </c:dLbl>
            <c:spPr>
              <a:noFill/>
              <a:ln>
                <a:noFill/>
              </a:ln>
              <a:effectLst/>
            </c:sp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'GB200-300 Tracker'!$C$39:$N$39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'GB200-300 Tracker'!$C$40:$N$40</c:f>
              <c:numCache>
                <c:formatCode>#,##0</c:formatCode>
                <c:ptCount val="12"/>
                <c:pt idx="0">
                  <c:v>127</c:v>
                </c:pt>
                <c:pt idx="1">
                  <c:v>283</c:v>
                </c:pt>
                <c:pt idx="2">
                  <c:v>498</c:v>
                </c:pt>
                <c:pt idx="3">
                  <c:v>692</c:v>
                </c:pt>
                <c:pt idx="4">
                  <c:v>1759</c:v>
                </c:pt>
                <c:pt idx="5">
                  <c:v>1845</c:v>
                </c:pt>
                <c:pt idx="6">
                  <c:v>1740</c:v>
                </c:pt>
                <c:pt idx="7">
                  <c:v>2359</c:v>
                </c:pt>
                <c:pt idx="8">
                  <c:v>4165</c:v>
                </c:pt>
                <c:pt idx="9">
                  <c:v>4175</c:v>
                </c:pt>
                <c:pt idx="10">
                  <c:v>5390</c:v>
                </c:pt>
                <c:pt idx="11">
                  <c:v>5885</c:v>
                </c:pt>
              </c:numCache>
            </c:numRef>
          </c:val>
          <c:extLst>
            <c:ext xmlns:c15="http://schemas.microsoft.com/office/drawing/2012/chart" uri="{02D57815-91ED-43cb-92C2-25804820EDAC}">
              <c15:datalabelsRange>
                <c15:f>'GB200-300 Tracker'!$C$48:$N$48</c15:f>
                <c15:dlblRangeCache>
                  <c:ptCount val="12"/>
                  <c:pt idx="0">
                    <c:v>0.1</c:v>
                  </c:pt>
                  <c:pt idx="1">
                    <c:v>0.3</c:v>
                  </c:pt>
                  <c:pt idx="2">
                    <c:v>0.5</c:v>
                  </c:pt>
                  <c:pt idx="3">
                    <c:v>0.7</c:v>
                  </c:pt>
                  <c:pt idx="4">
                    <c:v>1.8</c:v>
                  </c:pt>
                  <c:pt idx="5">
                    <c:v>1.8</c:v>
                  </c:pt>
                  <c:pt idx="6">
                    <c:v>1.7</c:v>
                  </c:pt>
                  <c:pt idx="7">
                    <c:v>2.4</c:v>
                  </c:pt>
                  <c:pt idx="8">
                    <c:v>4.2</c:v>
                  </c:pt>
                  <c:pt idx="9">
                    <c:v>4.2</c:v>
                  </c:pt>
                  <c:pt idx="10">
                    <c:v>5.4</c:v>
                  </c:pt>
                  <c:pt idx="11">
                    <c:v>5.9</c:v>
                  </c:pt>
                </c15:dlblRangeCache>
              </c15:datalabelsRange>
            </c:ext>
            <c:ext xmlns:c16="http://schemas.microsoft.com/office/drawing/2014/chart" uri="{C3380CC4-5D6E-409C-BE32-E72D297353CC}">
              <c16:uniqueId val="{00000011-10BE-48C0-8912-275515E9C5B0}"/>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scaling>
        <c:delete val="1"/>
        <c:axPos val="l"/>
        <c:numFmt formatCode="#,##0" sourceLinked="1"/>
        <c:majorTickMark val="out"/>
        <c:minorTickMark val="none"/>
        <c:tickLblPos val="nextTo"/>
        <c:crossAx val="96755072"/>
        <c:crosses val="autoZero"/>
        <c:crossBetween val="between"/>
        <c:majorUnit val="1000"/>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 racks (000s)</a:t>
            </a:r>
          </a:p>
        </c:rich>
      </c:tx>
      <c:layout>
        <c:manualLayout>
          <c:xMode val="edge"/>
          <c:yMode val="edge"/>
          <c:x val="0"/>
          <c:y val="0"/>
        </c:manualLayout>
      </c:layout>
      <c:overlay val="0"/>
    </c:title>
    <c:autoTitleDeleted val="0"/>
    <c:plotArea>
      <c:layout>
        <c:manualLayout>
          <c:xMode val="edge"/>
          <c:yMode val="edge"/>
          <c:x val="1.7094017094017096E-2"/>
          <c:y val="8.0337552742616031E-2"/>
          <c:w val="0.98290598290598286"/>
          <c:h val="0.85400843881856536"/>
        </c:manualLayout>
      </c:layout>
      <c:barChart>
        <c:barDir val="col"/>
        <c:grouping val="stacked"/>
        <c:varyColors val="0"/>
        <c:ser>
          <c:idx val="0"/>
          <c:order val="0"/>
          <c:tx>
            <c:strRef>
              <c:f>'GB200-300 Tracker'!$AB$40</c:f>
              <c:strCache>
                <c:ptCount val="1"/>
                <c:pt idx="0">
                  <c:v>GB racks (NVL72)</c:v>
                </c:pt>
              </c:strCache>
            </c:strRef>
          </c:tx>
          <c:invertIfNegative val="0"/>
          <c:dPt>
            <c:idx val="2"/>
            <c:invertIfNegative val="0"/>
            <c:bubble3D val="0"/>
            <c:spPr>
              <a:solidFill>
                <a:srgbClr val="137CB1">
                  <a:lumMod val="20000"/>
                  <a:lumOff val="80000"/>
                </a:srgbClr>
              </a:solidFill>
            </c:spPr>
            <c:extLst>
              <c:ext xmlns:c16="http://schemas.microsoft.com/office/drawing/2014/chart" uri="{C3380CC4-5D6E-409C-BE32-E72D297353CC}">
                <c16:uniqueId val="{00000001-CCD8-477A-ADAB-88527E110BA8}"/>
              </c:ext>
            </c:extLst>
          </c:dPt>
          <c:dPt>
            <c:idx val="3"/>
            <c:invertIfNegative val="0"/>
            <c:bubble3D val="0"/>
            <c:spPr>
              <a:solidFill>
                <a:srgbClr val="137CB1">
                  <a:lumMod val="20000"/>
                  <a:lumOff val="80000"/>
                </a:srgbClr>
              </a:solidFill>
            </c:spPr>
            <c:extLst>
              <c:ext xmlns:c16="http://schemas.microsoft.com/office/drawing/2014/chart" uri="{C3380CC4-5D6E-409C-BE32-E72D297353CC}">
                <c16:uniqueId val="{00000003-CCD8-477A-ADAB-88527E110BA8}"/>
              </c:ext>
            </c:extLst>
          </c:dPt>
          <c:dLbls>
            <c:dLbl>
              <c:idx val="0"/>
              <c:layout>
                <c:manualLayout>
                  <c:x val="0"/>
                  <c:y val="-7.0034155712492885E-2"/>
                </c:manualLayout>
              </c:layout>
              <c:tx>
                <c:rich>
                  <a:bodyPr/>
                  <a:lstStyle/>
                  <a:p>
                    <a:fld id="{DA1BE25C-3CBC-4DC9-B5DB-C88B1CFFBE4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CD8-477A-ADAB-88527E110BA8}"/>
                </c:ext>
              </c:extLst>
            </c:dLbl>
            <c:dLbl>
              <c:idx val="1"/>
              <c:layout>
                <c:manualLayout>
                  <c:x val="0"/>
                  <c:y val="-0.15641086864099085"/>
                </c:manualLayout>
              </c:layout>
              <c:tx>
                <c:rich>
                  <a:bodyPr/>
                  <a:lstStyle/>
                  <a:p>
                    <a:fld id="{1FA20F7B-5EB6-4BAF-85E6-CB65E5B0632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CD8-477A-ADAB-88527E110BA8}"/>
                </c:ext>
              </c:extLst>
            </c:dLbl>
            <c:dLbl>
              <c:idx val="2"/>
              <c:layout>
                <c:manualLayout>
                  <c:x val="0"/>
                  <c:y val="-0.26547389512617359"/>
                </c:manualLayout>
              </c:layout>
              <c:tx>
                <c:rich>
                  <a:bodyPr/>
                  <a:lstStyle/>
                  <a:p>
                    <a:fld id="{148D5A8A-3DF1-47DC-8153-66E5BF6CB50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CD8-477A-ADAB-88527E110BA8}"/>
                </c:ext>
              </c:extLst>
            </c:dLbl>
            <c:dLbl>
              <c:idx val="3"/>
              <c:layout>
                <c:manualLayout>
                  <c:x val="0"/>
                  <c:y val="-0.33982067987204179"/>
                </c:manualLayout>
              </c:layout>
              <c:tx>
                <c:rich>
                  <a:bodyPr/>
                  <a:lstStyle/>
                  <a:p>
                    <a:fld id="{B3A51A46-736E-48C6-BC80-63297AD2D37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CD8-477A-ADAB-88527E110BA8}"/>
                </c:ext>
              </c:extLst>
            </c:dLbl>
            <c:spPr>
              <a:noFill/>
              <a:ln>
                <a:noFill/>
              </a:ln>
              <a:effectLst/>
            </c:sp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'GB200-300 Tracker'!$AC$39:$AF$39</c:f>
              <c:strCache>
                <c:ptCount val="4"/>
                <c:pt idx="0">
                  <c:v>1Q</c:v>
                </c:pt>
                <c:pt idx="1">
                  <c:v>2Q</c:v>
                </c:pt>
                <c:pt idx="2">
                  <c:v>3Q</c:v>
                </c:pt>
                <c:pt idx="3">
                  <c:v>4Q</c:v>
                </c:pt>
              </c:strCache>
            </c:strRef>
          </c:cat>
          <c:val>
            <c:numRef>
              <c:f>'GB200-300 Tracker'!$AC$40:$AF$40</c:f>
              <c:numCache>
                <c:formatCode>#,##0</c:formatCode>
                <c:ptCount val="4"/>
                <c:pt idx="0">
                  <c:v>908</c:v>
                </c:pt>
                <c:pt idx="1">
                  <c:v>4296</c:v>
                </c:pt>
                <c:pt idx="2">
                  <c:v>8264</c:v>
                </c:pt>
                <c:pt idx="3">
                  <c:v>15450</c:v>
                </c:pt>
              </c:numCache>
            </c:numRef>
          </c:val>
          <c:extLst>
            <c:ext xmlns:c15="http://schemas.microsoft.com/office/drawing/2012/chart" uri="{02D57815-91ED-43cb-92C2-25804820EDAC}">
              <c15:datalabelsRange>
                <c15:f>'GB200-300 Tracker'!$AC$48:$AF$48</c15:f>
                <c15:dlblRangeCache>
                  <c:ptCount val="4"/>
                  <c:pt idx="0">
                    <c:v>0.9</c:v>
                  </c:pt>
                  <c:pt idx="1">
                    <c:v>4.3</c:v>
                  </c:pt>
                  <c:pt idx="2">
                    <c:v>8.3</c:v>
                  </c:pt>
                  <c:pt idx="3">
                    <c:v>15.5</c:v>
                  </c:pt>
                </c15:dlblRangeCache>
              </c15:datalabelsRange>
            </c:ext>
            <c:ext xmlns:c16="http://schemas.microsoft.com/office/drawing/2014/chart" uri="{C3380CC4-5D6E-409C-BE32-E72D297353CC}">
              <c16:uniqueId val="{00000006-CCD8-477A-ADAB-88527E110BA8}"/>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max val="20000"/>
        </c:scaling>
        <c:delete val="1"/>
        <c:axPos val="l"/>
        <c:numFmt formatCode="#,##0" sourceLinked="1"/>
        <c:majorTickMark val="out"/>
        <c:minorTickMark val="none"/>
        <c:tickLblPos val="nextTo"/>
        <c:crossAx val="96755072"/>
        <c:crosses val="autoZero"/>
        <c:crossBetween val="between"/>
        <c:majorUnit val="10000"/>
      </c:valAx>
      <c:spPr>
        <a:noFill/>
        <a:ln w="25400">
          <a:noFill/>
        </a:ln>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NVL72-equivalent rack supply share (2026)</a:t>
            </a:r>
          </a:p>
        </c:rich>
      </c:tx>
      <c:layout>
        <c:manualLayout>
          <c:xMode val="edge"/>
          <c:yMode val="edge"/>
          <c:x val="2.0097487814023304E-3"/>
          <c:y val="0"/>
        </c:manualLayout>
      </c:layout>
      <c:overlay val="0"/>
    </c:title>
    <c:autoTitleDeleted val="0"/>
    <c:plotArea>
      <c:layout>
        <c:manualLayout>
          <c:layoutTarget val="inner"/>
          <c:xMode val="edge"/>
          <c:yMode val="edge"/>
          <c:x val="0.20849687906658726"/>
          <c:y val="8.5586934233475034E-2"/>
          <c:w val="0.5802053419793114"/>
          <c:h val="0.91441306576652504"/>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FA8C-4030-A3EA-8907E842A37C}"/>
              </c:ext>
            </c:extLst>
          </c:dPt>
          <c:dPt>
            <c:idx val="1"/>
            <c:bubble3D val="0"/>
            <c:spPr>
              <a:solidFill>
                <a:srgbClr val="EADFBC"/>
              </a:solidFill>
            </c:spPr>
            <c:extLst>
              <c:ext xmlns:c16="http://schemas.microsoft.com/office/drawing/2014/chart" uri="{C3380CC4-5D6E-409C-BE32-E72D297353CC}">
                <c16:uniqueId val="{00000002-FA8C-4030-A3EA-8907E842A37C}"/>
              </c:ext>
            </c:extLst>
          </c:dPt>
          <c:dPt>
            <c:idx val="2"/>
            <c:bubble3D val="0"/>
            <c:spPr>
              <a:solidFill>
                <a:srgbClr val="226B5A"/>
              </a:solidFill>
            </c:spPr>
            <c:extLst>
              <c:ext xmlns:c16="http://schemas.microsoft.com/office/drawing/2014/chart" uri="{C3380CC4-5D6E-409C-BE32-E72D297353CC}">
                <c16:uniqueId val="{00000004-FA8C-4030-A3EA-8907E842A37C}"/>
              </c:ext>
            </c:extLst>
          </c:dPt>
          <c:dPt>
            <c:idx val="3"/>
            <c:bubble3D val="0"/>
            <c:spPr>
              <a:solidFill>
                <a:srgbClr val="8CD5F2"/>
              </a:solidFill>
            </c:spPr>
            <c:extLst>
              <c:ext xmlns:c16="http://schemas.microsoft.com/office/drawing/2014/chart" uri="{C3380CC4-5D6E-409C-BE32-E72D297353CC}">
                <c16:uniqueId val="{00000006-FA8C-4030-A3EA-8907E842A37C}"/>
              </c:ext>
            </c:extLst>
          </c:dPt>
          <c:dPt>
            <c:idx val="4"/>
            <c:bubble3D val="0"/>
            <c:spPr>
              <a:solidFill>
                <a:srgbClr val="D0B86A"/>
              </a:solidFill>
            </c:spPr>
            <c:extLst>
              <c:ext xmlns:c16="http://schemas.microsoft.com/office/drawing/2014/chart" uri="{C3380CC4-5D6E-409C-BE32-E72D297353CC}">
                <c16:uniqueId val="{00000008-FA8C-4030-A3EA-8907E842A37C}"/>
              </c:ext>
            </c:extLst>
          </c:dPt>
          <c:dPt>
            <c:idx val="5"/>
            <c:bubble3D val="0"/>
            <c:spPr>
              <a:solidFill>
                <a:srgbClr val="93DECC"/>
              </a:solidFill>
            </c:spPr>
            <c:extLst>
              <c:ext xmlns:c16="http://schemas.microsoft.com/office/drawing/2014/chart" uri="{C3380CC4-5D6E-409C-BE32-E72D297353CC}">
                <c16:uniqueId val="{0000000A-FA8C-4030-A3EA-8907E842A37C}"/>
              </c:ext>
            </c:extLst>
          </c:dPt>
          <c:dPt>
            <c:idx val="6"/>
            <c:bubble3D val="0"/>
            <c:spPr>
              <a:solidFill>
                <a:srgbClr val="6769E2"/>
              </a:solidFill>
            </c:spPr>
            <c:extLst>
              <c:ext xmlns:c16="http://schemas.microsoft.com/office/drawing/2014/chart" uri="{C3380CC4-5D6E-409C-BE32-E72D297353CC}">
                <c16:uniqueId val="{0000000C-FA8C-4030-A3EA-8907E842A37C}"/>
              </c:ext>
            </c:extLst>
          </c:dPt>
          <c:dPt>
            <c:idx val="7"/>
            <c:bubble3D val="0"/>
            <c:spPr>
              <a:solidFill>
                <a:srgbClr val="606165"/>
              </a:solidFill>
            </c:spPr>
            <c:extLst>
              <c:ext xmlns:c16="http://schemas.microsoft.com/office/drawing/2014/chart" uri="{C3380CC4-5D6E-409C-BE32-E72D297353CC}">
                <c16:uniqueId val="{0000000E-FA8C-4030-A3EA-8907E842A37C}"/>
              </c:ext>
            </c:extLst>
          </c:dPt>
          <c:dPt>
            <c:idx val="8"/>
            <c:bubble3D val="0"/>
            <c:spPr>
              <a:solidFill>
                <a:srgbClr val="2673B2"/>
              </a:solidFill>
            </c:spPr>
            <c:extLst>
              <c:ext xmlns:c16="http://schemas.microsoft.com/office/drawing/2014/chart" uri="{C3380CC4-5D6E-409C-BE32-E72D297353CC}">
                <c16:uniqueId val="{00000010-FA8C-4030-A3EA-8907E842A37C}"/>
              </c:ext>
            </c:extLst>
          </c:dPt>
          <c:dPt>
            <c:idx val="9"/>
            <c:bubble3D val="0"/>
            <c:spPr>
              <a:solidFill>
                <a:srgbClr val="F6F1E1"/>
              </a:solidFill>
            </c:spPr>
            <c:extLst>
              <c:ext xmlns:c16="http://schemas.microsoft.com/office/drawing/2014/chart" uri="{C3380CC4-5D6E-409C-BE32-E72D297353CC}">
                <c16:uniqueId val="{00000012-FA8C-4030-A3EA-8907E842A37C}"/>
              </c:ext>
            </c:extLst>
          </c:dPt>
          <c:dPt>
            <c:idx val="10"/>
            <c:bubble3D val="0"/>
            <c:spPr>
              <a:solidFill>
                <a:srgbClr val="38957F"/>
              </a:solidFill>
            </c:spPr>
            <c:extLst>
              <c:ext xmlns:c16="http://schemas.microsoft.com/office/drawing/2014/chart" uri="{C3380CC4-5D6E-409C-BE32-E72D297353CC}">
                <c16:uniqueId val="{00000014-FA8C-4030-A3EA-8907E842A37C}"/>
              </c:ext>
            </c:extLst>
          </c:dPt>
          <c:dPt>
            <c:idx val="11"/>
            <c:bubble3D val="0"/>
            <c:spPr>
              <a:solidFill>
                <a:srgbClr val="D9F1FB"/>
              </a:solidFill>
            </c:spPr>
            <c:extLst>
              <c:ext xmlns:c16="http://schemas.microsoft.com/office/drawing/2014/chart" uri="{C3380CC4-5D6E-409C-BE32-E72D297353CC}">
                <c16:uniqueId val="{00000016-FA8C-4030-A3EA-8907E842A37C}"/>
              </c:ext>
            </c:extLst>
          </c:dPt>
          <c:dPt>
            <c:idx val="12"/>
            <c:bubble3D val="0"/>
            <c:spPr>
              <a:solidFill>
                <a:srgbClr val="E0D19E"/>
              </a:solidFill>
            </c:spPr>
            <c:extLst>
              <c:ext xmlns:c16="http://schemas.microsoft.com/office/drawing/2014/chart" uri="{C3380CC4-5D6E-409C-BE32-E72D297353CC}">
                <c16:uniqueId val="{00000018-FA8C-4030-A3EA-8907E842A37C}"/>
              </c:ext>
            </c:extLst>
          </c:dPt>
          <c:dPt>
            <c:idx val="13"/>
            <c:bubble3D val="0"/>
            <c:spPr>
              <a:solidFill>
                <a:srgbClr val="E2F6F1"/>
              </a:solidFill>
            </c:spPr>
            <c:extLst>
              <c:ext xmlns:c16="http://schemas.microsoft.com/office/drawing/2014/chart" uri="{C3380CC4-5D6E-409C-BE32-E72D297353CC}">
                <c16:uniqueId val="{0000001A-FA8C-4030-A3EA-8907E842A37C}"/>
              </c:ext>
            </c:extLst>
          </c:dPt>
          <c:dPt>
            <c:idx val="14"/>
            <c:bubble3D val="0"/>
            <c:spPr>
              <a:solidFill>
                <a:srgbClr val="7072BB"/>
              </a:solidFill>
            </c:spPr>
            <c:extLst>
              <c:ext xmlns:c16="http://schemas.microsoft.com/office/drawing/2014/chart" uri="{C3380CC4-5D6E-409C-BE32-E72D297353CC}">
                <c16:uniqueId val="{0000001C-FA8C-4030-A3EA-8907E842A37C}"/>
              </c:ext>
            </c:extLst>
          </c:dPt>
          <c:dPt>
            <c:idx val="15"/>
            <c:bubble3D val="0"/>
            <c:spPr>
              <a:solidFill>
                <a:srgbClr val="93959B"/>
              </a:solidFill>
            </c:spPr>
            <c:extLst>
              <c:ext xmlns:c16="http://schemas.microsoft.com/office/drawing/2014/chart" uri="{C3380CC4-5D6E-409C-BE32-E72D297353CC}">
                <c16:uniqueId val="{0000001E-FA8C-4030-A3EA-8907E842A37C}"/>
              </c:ext>
            </c:extLst>
          </c:dPt>
          <c:dPt>
            <c:idx val="16"/>
            <c:bubble3D val="0"/>
            <c:extLst>
              <c:ext xmlns:c16="http://schemas.microsoft.com/office/drawing/2014/chart" uri="{C3380CC4-5D6E-409C-BE32-E72D297353CC}">
                <c16:uniqueId val="{0000001F-FA8C-4030-A3EA-8907E842A37C}"/>
              </c:ext>
            </c:extLst>
          </c:dPt>
          <c:dPt>
            <c:idx val="17"/>
            <c:bubble3D val="0"/>
            <c:extLst>
              <c:ext xmlns:c16="http://schemas.microsoft.com/office/drawing/2014/chart" uri="{C3380CC4-5D6E-409C-BE32-E72D297353CC}">
                <c16:uniqueId val="{00000020-FA8C-4030-A3EA-8907E842A37C}"/>
              </c:ext>
            </c:extLst>
          </c:dPt>
          <c:dLbls>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0-FA8C-4030-A3EA-8907E842A37C}"/>
                </c:ext>
              </c:extLst>
            </c:dLbl>
            <c:dLbl>
              <c:idx val="2"/>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0"/>
              <c:showBubbleSize val="0"/>
              <c:extLst>
                <c:ext xmlns:c16="http://schemas.microsoft.com/office/drawing/2014/chart" uri="{C3380CC4-5D6E-409C-BE32-E72D297353CC}">
                  <c16:uniqueId val="{00000004-FA8C-4030-A3EA-8907E842A37C}"/>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'GB200-300 Tracker'!$AB$42:$AB$46</c:f>
              <c:strCache>
                <c:ptCount val="5"/>
                <c:pt idx="0">
                  <c:v>Hon Hai</c:v>
                </c:pt>
                <c:pt idx="1">
                  <c:v>Quanta</c:v>
                </c:pt>
                <c:pt idx="2">
                  <c:v>Wistron</c:v>
                </c:pt>
                <c:pt idx="3">
                  <c:v>Wiwynn</c:v>
                </c:pt>
                <c:pt idx="4">
                  <c:v>Others</c:v>
                </c:pt>
              </c:strCache>
            </c:strRef>
          </c:cat>
          <c:val>
            <c:numRef>
              <c:f>'GB200-300 Tracker'!$AO$42:$AO$46</c:f>
              <c:numCache>
                <c:formatCode>0%</c:formatCode>
                <c:ptCount val="5"/>
                <c:pt idx="0">
                  <c:v>0.40969305331179323</c:v>
                </c:pt>
                <c:pt idx="1">
                  <c:v>0.24168012924071083</c:v>
                </c:pt>
                <c:pt idx="2">
                  <c:v>0.18255250403877221</c:v>
                </c:pt>
                <c:pt idx="3">
                  <c:v>6.462035541195477E-4</c:v>
                </c:pt>
                <c:pt idx="4">
                  <c:v>0.16542810985460421</c:v>
                </c:pt>
              </c:numCache>
            </c:numRef>
          </c:val>
          <c:extLst>
            <c:ext xmlns:c16="http://schemas.microsoft.com/office/drawing/2014/chart" uri="{C3380CC4-5D6E-409C-BE32-E72D297353CC}">
              <c16:uniqueId val="{00000021-FA8C-4030-A3EA-8907E842A37C}"/>
            </c:ext>
          </c:extLst>
        </c:ser>
        <c:dLbls>
          <c:showLegendKey val="0"/>
          <c:showVal val="0"/>
          <c:showCatName val="0"/>
          <c:showSerName val="0"/>
          <c:showPercent val="0"/>
          <c:showBubbleSize val="0"/>
          <c:showLeaderLines val="1"/>
        </c:dLbls>
        <c:firstSliceAng val="0"/>
      </c:pieChart>
      <c:spPr>
        <a:noFill/>
        <a:extLst>
          <a:ext uri="{909E8E84-426E-40DD-AFC4-6F175D3DCCD1}">
            <a14:hiddenFill xmlns:a14="http://schemas.microsoft.com/office/drawing/2010/main">
              <a:no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NVL72-equivalent rack mix breakdown (2026)</a:t>
            </a:r>
          </a:p>
        </c:rich>
      </c:tx>
      <c:layout>
        <c:manualLayout>
          <c:xMode val="edge"/>
          <c:yMode val="edge"/>
          <c:x val="1.2534462603939181E-3"/>
          <c:y val="0"/>
        </c:manualLayout>
      </c:layout>
      <c:overlay val="0"/>
    </c:title>
    <c:autoTitleDeleted val="0"/>
    <c:plotArea>
      <c:layout>
        <c:manualLayout>
          <c:layoutTarget val="inner"/>
          <c:xMode val="edge"/>
          <c:yMode val="edge"/>
          <c:x val="0.2281047222038422"/>
          <c:y val="0.10341754553211562"/>
          <c:w val="0.56339861929023582"/>
          <c:h val="0.89658245446788432"/>
        </c:manualLayout>
      </c:layout>
      <c:pieChart>
        <c:varyColors val="1"/>
        <c:ser>
          <c:idx val="0"/>
          <c:order val="0"/>
          <c:spPr>
            <a:solidFill>
              <a:srgbClr val="005AA4"/>
            </a:solidFill>
          </c:spPr>
          <c:dPt>
            <c:idx val="0"/>
            <c:bubble3D val="0"/>
            <c:extLst>
              <c:ext xmlns:c16="http://schemas.microsoft.com/office/drawing/2014/chart" uri="{C3380CC4-5D6E-409C-BE32-E72D297353CC}">
                <c16:uniqueId val="{00000000-A846-4E76-A582-B4685E42907F}"/>
              </c:ext>
            </c:extLst>
          </c:dPt>
          <c:dPt>
            <c:idx val="1"/>
            <c:bubble3D val="0"/>
            <c:spPr>
              <a:solidFill>
                <a:srgbClr val="EADFBC"/>
              </a:solidFill>
            </c:spPr>
            <c:extLst>
              <c:ext xmlns:c16="http://schemas.microsoft.com/office/drawing/2014/chart" uri="{C3380CC4-5D6E-409C-BE32-E72D297353CC}">
                <c16:uniqueId val="{00000002-A846-4E76-A582-B4685E42907F}"/>
              </c:ext>
            </c:extLst>
          </c:dPt>
          <c:dPt>
            <c:idx val="2"/>
            <c:bubble3D val="0"/>
            <c:spPr>
              <a:solidFill>
                <a:srgbClr val="226B5A"/>
              </a:solidFill>
            </c:spPr>
            <c:extLst>
              <c:ext xmlns:c16="http://schemas.microsoft.com/office/drawing/2014/chart" uri="{C3380CC4-5D6E-409C-BE32-E72D297353CC}">
                <c16:uniqueId val="{00000004-A846-4E76-A582-B4685E42907F}"/>
              </c:ext>
            </c:extLst>
          </c:dPt>
          <c:dPt>
            <c:idx val="3"/>
            <c:bubble3D val="0"/>
            <c:spPr>
              <a:solidFill>
                <a:srgbClr val="8CD5F2"/>
              </a:solidFill>
            </c:spPr>
            <c:extLst>
              <c:ext xmlns:c16="http://schemas.microsoft.com/office/drawing/2014/chart" uri="{C3380CC4-5D6E-409C-BE32-E72D297353CC}">
                <c16:uniqueId val="{00000006-A846-4E76-A582-B4685E42907F}"/>
              </c:ext>
            </c:extLst>
          </c:dPt>
          <c:dPt>
            <c:idx val="4"/>
            <c:bubble3D val="0"/>
            <c:spPr>
              <a:solidFill>
                <a:srgbClr val="D0B86A"/>
              </a:solidFill>
            </c:spPr>
            <c:extLst>
              <c:ext xmlns:c16="http://schemas.microsoft.com/office/drawing/2014/chart" uri="{C3380CC4-5D6E-409C-BE32-E72D297353CC}">
                <c16:uniqueId val="{00000008-A846-4E76-A582-B4685E42907F}"/>
              </c:ext>
            </c:extLst>
          </c:dPt>
          <c:dPt>
            <c:idx val="5"/>
            <c:bubble3D val="0"/>
            <c:spPr>
              <a:solidFill>
                <a:srgbClr val="93DECC"/>
              </a:solidFill>
            </c:spPr>
            <c:extLst>
              <c:ext xmlns:c16="http://schemas.microsoft.com/office/drawing/2014/chart" uri="{C3380CC4-5D6E-409C-BE32-E72D297353CC}">
                <c16:uniqueId val="{0000000A-A846-4E76-A582-B4685E42907F}"/>
              </c:ext>
            </c:extLst>
          </c:dPt>
          <c:dPt>
            <c:idx val="6"/>
            <c:bubble3D val="0"/>
            <c:spPr>
              <a:solidFill>
                <a:srgbClr val="6769E2"/>
              </a:solidFill>
            </c:spPr>
            <c:extLst>
              <c:ext xmlns:c16="http://schemas.microsoft.com/office/drawing/2014/chart" uri="{C3380CC4-5D6E-409C-BE32-E72D297353CC}">
                <c16:uniqueId val="{0000000C-A846-4E76-A582-B4685E42907F}"/>
              </c:ext>
            </c:extLst>
          </c:dPt>
          <c:dPt>
            <c:idx val="7"/>
            <c:bubble3D val="0"/>
            <c:spPr>
              <a:solidFill>
                <a:srgbClr val="606165"/>
              </a:solidFill>
            </c:spPr>
            <c:extLst>
              <c:ext xmlns:c16="http://schemas.microsoft.com/office/drawing/2014/chart" uri="{C3380CC4-5D6E-409C-BE32-E72D297353CC}">
                <c16:uniqueId val="{0000000E-A846-4E76-A582-B4685E42907F}"/>
              </c:ext>
            </c:extLst>
          </c:dPt>
          <c:dPt>
            <c:idx val="8"/>
            <c:bubble3D val="0"/>
            <c:spPr>
              <a:solidFill>
                <a:srgbClr val="2673B2"/>
              </a:solidFill>
            </c:spPr>
            <c:extLst>
              <c:ext xmlns:c16="http://schemas.microsoft.com/office/drawing/2014/chart" uri="{C3380CC4-5D6E-409C-BE32-E72D297353CC}">
                <c16:uniqueId val="{00000010-A846-4E76-A582-B4685E42907F}"/>
              </c:ext>
            </c:extLst>
          </c:dPt>
          <c:dPt>
            <c:idx val="9"/>
            <c:bubble3D val="0"/>
            <c:spPr>
              <a:solidFill>
                <a:srgbClr val="F6F1E1"/>
              </a:solidFill>
            </c:spPr>
            <c:extLst>
              <c:ext xmlns:c16="http://schemas.microsoft.com/office/drawing/2014/chart" uri="{C3380CC4-5D6E-409C-BE32-E72D297353CC}">
                <c16:uniqueId val="{00000012-A846-4E76-A582-B4685E42907F}"/>
              </c:ext>
            </c:extLst>
          </c:dPt>
          <c:dPt>
            <c:idx val="10"/>
            <c:bubble3D val="0"/>
            <c:spPr>
              <a:solidFill>
                <a:srgbClr val="38957F"/>
              </a:solidFill>
            </c:spPr>
            <c:extLst>
              <c:ext xmlns:c16="http://schemas.microsoft.com/office/drawing/2014/chart" uri="{C3380CC4-5D6E-409C-BE32-E72D297353CC}">
                <c16:uniqueId val="{00000014-A846-4E76-A582-B4685E42907F}"/>
              </c:ext>
            </c:extLst>
          </c:dPt>
          <c:dPt>
            <c:idx val="11"/>
            <c:bubble3D val="0"/>
            <c:spPr>
              <a:solidFill>
                <a:srgbClr val="D9F1FB"/>
              </a:solidFill>
            </c:spPr>
            <c:extLst>
              <c:ext xmlns:c16="http://schemas.microsoft.com/office/drawing/2014/chart" uri="{C3380CC4-5D6E-409C-BE32-E72D297353CC}">
                <c16:uniqueId val="{00000016-A846-4E76-A582-B4685E42907F}"/>
              </c:ext>
            </c:extLst>
          </c:dPt>
          <c:dPt>
            <c:idx val="12"/>
            <c:bubble3D val="0"/>
            <c:spPr>
              <a:solidFill>
                <a:srgbClr val="E0D19E"/>
              </a:solidFill>
            </c:spPr>
            <c:extLst>
              <c:ext xmlns:c16="http://schemas.microsoft.com/office/drawing/2014/chart" uri="{C3380CC4-5D6E-409C-BE32-E72D297353CC}">
                <c16:uniqueId val="{00000018-A846-4E76-A582-B4685E42907F}"/>
              </c:ext>
            </c:extLst>
          </c:dPt>
          <c:dPt>
            <c:idx val="13"/>
            <c:bubble3D val="0"/>
            <c:spPr>
              <a:solidFill>
                <a:srgbClr val="E2F6F1"/>
              </a:solidFill>
            </c:spPr>
            <c:extLst>
              <c:ext xmlns:c16="http://schemas.microsoft.com/office/drawing/2014/chart" uri="{C3380CC4-5D6E-409C-BE32-E72D297353CC}">
                <c16:uniqueId val="{0000001A-A846-4E76-A582-B4685E42907F}"/>
              </c:ext>
            </c:extLst>
          </c:dPt>
          <c:dPt>
            <c:idx val="14"/>
            <c:bubble3D val="0"/>
            <c:spPr>
              <a:solidFill>
                <a:srgbClr val="7072BB"/>
              </a:solidFill>
            </c:spPr>
            <c:extLst>
              <c:ext xmlns:c16="http://schemas.microsoft.com/office/drawing/2014/chart" uri="{C3380CC4-5D6E-409C-BE32-E72D297353CC}">
                <c16:uniqueId val="{0000001C-A846-4E76-A582-B4685E42907F}"/>
              </c:ext>
            </c:extLst>
          </c:dPt>
          <c:dPt>
            <c:idx val="15"/>
            <c:bubble3D val="0"/>
            <c:spPr>
              <a:solidFill>
                <a:srgbClr val="93959B"/>
              </a:solidFill>
            </c:spPr>
            <c:extLst>
              <c:ext xmlns:c16="http://schemas.microsoft.com/office/drawing/2014/chart" uri="{C3380CC4-5D6E-409C-BE32-E72D297353CC}">
                <c16:uniqueId val="{0000001E-A846-4E76-A582-B4685E42907F}"/>
              </c:ext>
            </c:extLst>
          </c:dPt>
          <c:dPt>
            <c:idx val="16"/>
            <c:bubble3D val="0"/>
            <c:extLst>
              <c:ext xmlns:c16="http://schemas.microsoft.com/office/drawing/2014/chart" uri="{C3380CC4-5D6E-409C-BE32-E72D297353CC}">
                <c16:uniqueId val="{0000001F-A846-4E76-A582-B4685E42907F}"/>
              </c:ext>
            </c:extLst>
          </c:dPt>
          <c:dPt>
            <c:idx val="17"/>
            <c:bubble3D val="0"/>
            <c:extLst>
              <c:ext xmlns:c16="http://schemas.microsoft.com/office/drawing/2014/chart" uri="{C3380CC4-5D6E-409C-BE32-E72D297353CC}">
                <c16:uniqueId val="{00000020-A846-4E76-A582-B4685E42907F}"/>
              </c:ext>
            </c:extLst>
          </c:dPt>
          <c:dLbls>
            <c:dLbl>
              <c:idx val="0"/>
              <c:layout>
                <c:manualLayout>
                  <c:x val="0.23526787092789872"/>
                  <c:y val="0.1036404281733486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46-4E76-A582-B4685E42907F}"/>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'GB200-300 Tracker'!$AQ$40:$AQ$41</c:f>
              <c:strCache>
                <c:ptCount val="2"/>
                <c:pt idx="0">
                  <c:v>GB200</c:v>
                </c:pt>
                <c:pt idx="1">
                  <c:v>GB300</c:v>
                </c:pt>
              </c:strCache>
            </c:strRef>
          </c:cat>
          <c:val>
            <c:numRef>
              <c:f>'GB200-300 Tracker'!$BF$47:$BF$48</c:f>
              <c:numCache>
                <c:formatCode>0%</c:formatCode>
                <c:ptCount val="2"/>
                <c:pt idx="0">
                  <c:v>1.4414647280560028E-2</c:v>
                </c:pt>
                <c:pt idx="1">
                  <c:v>0.9468131394722672</c:v>
                </c:pt>
              </c:numCache>
            </c:numRef>
          </c:val>
          <c:extLst>
            <c:ext xmlns:c16="http://schemas.microsoft.com/office/drawing/2014/chart" uri="{C3380CC4-5D6E-409C-BE32-E72D297353CC}">
              <c16:uniqueId val="{00000021-A846-4E76-A582-B4685E42907F}"/>
            </c:ext>
          </c:extLst>
        </c:ser>
        <c:dLbls>
          <c:showLegendKey val="0"/>
          <c:showVal val="0"/>
          <c:showCatName val="0"/>
          <c:showSerName val="0"/>
          <c:showPercent val="0"/>
          <c:showBubbleSize val="0"/>
          <c:showLeaderLines val="1"/>
        </c:dLbls>
        <c:firstSliceAng val="0"/>
      </c:pieChart>
      <c:spPr>
        <a:noFill/>
        <a:extLst>
          <a:ext uri="{909E8E84-426E-40DD-AFC4-6F175D3DCCD1}">
            <a14:hiddenFill xmlns:a14="http://schemas.microsoft.com/office/drawing/2010/main">
              <a:no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 racks by major ODMs (000s)</a:t>
            </a:r>
          </a:p>
        </c:rich>
      </c:tx>
      <c:layout>
        <c:manualLayout>
          <c:xMode val="edge"/>
          <c:yMode val="edge"/>
          <c:x val="0"/>
          <c:y val="0"/>
        </c:manualLayout>
      </c:layout>
      <c:overlay val="0"/>
    </c:title>
    <c:autoTitleDeleted val="0"/>
    <c:plotArea>
      <c:layout>
        <c:manualLayout>
          <c:layoutTarget val="inner"/>
          <c:xMode val="edge"/>
          <c:yMode val="edge"/>
          <c:x val="1.7094015211080563E-2"/>
          <c:y val="0.12946291522329215"/>
          <c:w val="0.98290598478891944"/>
          <c:h val="0.72449600719615459"/>
        </c:manualLayout>
      </c:layout>
      <c:barChart>
        <c:barDir val="col"/>
        <c:grouping val="stacked"/>
        <c:varyColors val="0"/>
        <c:ser>
          <c:idx val="0"/>
          <c:order val="0"/>
          <c:tx>
            <c:strRef>
              <c:f>'GB200-300 Tracker'!$AB$42</c:f>
              <c:strCache>
                <c:ptCount val="1"/>
                <c:pt idx="0">
                  <c:v>Hon Hai</c:v>
                </c:pt>
              </c:strCache>
            </c:strRef>
          </c:tx>
          <c:invertIfNegative val="0"/>
          <c:cat>
            <c:strRef>
              <c:f>'GB200-300 Tracker'!$AJ$39:$AM$39</c:f>
              <c:strCache>
                <c:ptCount val="4"/>
                <c:pt idx="0">
                  <c:v>1Q</c:v>
                </c:pt>
                <c:pt idx="1">
                  <c:v>2Q</c:v>
                </c:pt>
                <c:pt idx="2">
                  <c:v>3Q</c:v>
                </c:pt>
                <c:pt idx="3">
                  <c:v>4Q</c:v>
                </c:pt>
              </c:strCache>
            </c:strRef>
          </c:cat>
          <c:val>
            <c:numRef>
              <c:f>'GB200-300 Tracker'!$AJ$42:$AM$42</c:f>
              <c:numCache>
                <c:formatCode>#,##0</c:formatCode>
                <c:ptCount val="4"/>
                <c:pt idx="0">
                  <c:v>8500</c:v>
                </c:pt>
                <c:pt idx="1">
                  <c:v>10000</c:v>
                </c:pt>
                <c:pt idx="2">
                  <c:v>7500</c:v>
                </c:pt>
                <c:pt idx="3">
                  <c:v>5700</c:v>
                </c:pt>
              </c:numCache>
            </c:numRef>
          </c:val>
          <c:extLst>
            <c:ext xmlns:c16="http://schemas.microsoft.com/office/drawing/2014/chart" uri="{C3380CC4-5D6E-409C-BE32-E72D297353CC}">
              <c16:uniqueId val="{00000000-183E-46BA-9415-325F343E15EF}"/>
            </c:ext>
          </c:extLst>
        </c:ser>
        <c:ser>
          <c:idx val="1"/>
          <c:order val="1"/>
          <c:tx>
            <c:strRef>
              <c:f>'GB200-300 Tracker'!$AB$43</c:f>
              <c:strCache>
                <c:ptCount val="1"/>
                <c:pt idx="0">
                  <c:v>Quanta</c:v>
                </c:pt>
              </c:strCache>
            </c:strRef>
          </c:tx>
          <c:spPr>
            <a:solidFill>
              <a:srgbClr val="EADFBC"/>
            </a:solidFill>
          </c:spPr>
          <c:invertIfNegative val="0"/>
          <c:cat>
            <c:strRef>
              <c:f>'GB200-300 Tracker'!$AJ$39:$AM$39</c:f>
              <c:strCache>
                <c:ptCount val="4"/>
                <c:pt idx="0">
                  <c:v>1Q</c:v>
                </c:pt>
                <c:pt idx="1">
                  <c:v>2Q</c:v>
                </c:pt>
                <c:pt idx="2">
                  <c:v>3Q</c:v>
                </c:pt>
                <c:pt idx="3">
                  <c:v>4Q</c:v>
                </c:pt>
              </c:strCache>
            </c:strRef>
          </c:cat>
          <c:val>
            <c:numRef>
              <c:f>'GB200-300 Tracker'!$AJ$43:$AM$43</c:f>
              <c:numCache>
                <c:formatCode>#,##0</c:formatCode>
                <c:ptCount val="4"/>
                <c:pt idx="0">
                  <c:v>4925</c:v>
                </c:pt>
                <c:pt idx="1">
                  <c:v>7300</c:v>
                </c:pt>
                <c:pt idx="2">
                  <c:v>4900</c:v>
                </c:pt>
                <c:pt idx="3">
                  <c:v>1575</c:v>
                </c:pt>
              </c:numCache>
            </c:numRef>
          </c:val>
          <c:extLst>
            <c:ext xmlns:c16="http://schemas.microsoft.com/office/drawing/2014/chart" uri="{C3380CC4-5D6E-409C-BE32-E72D297353CC}">
              <c16:uniqueId val="{00000001-183E-46BA-9415-325F343E15EF}"/>
            </c:ext>
          </c:extLst>
        </c:ser>
        <c:ser>
          <c:idx val="2"/>
          <c:order val="2"/>
          <c:tx>
            <c:strRef>
              <c:f>'GB200-300 Tracker'!$AB$44</c:f>
              <c:strCache>
                <c:ptCount val="1"/>
                <c:pt idx="0">
                  <c:v>Wistron</c:v>
                </c:pt>
              </c:strCache>
            </c:strRef>
          </c:tx>
          <c:invertIfNegative val="0"/>
          <c:cat>
            <c:strRef>
              <c:f>'GB200-300 Tracker'!$AJ$39:$AM$39</c:f>
              <c:strCache>
                <c:ptCount val="4"/>
                <c:pt idx="0">
                  <c:v>1Q</c:v>
                </c:pt>
                <c:pt idx="1">
                  <c:v>2Q</c:v>
                </c:pt>
                <c:pt idx="2">
                  <c:v>3Q</c:v>
                </c:pt>
                <c:pt idx="3">
                  <c:v>4Q</c:v>
                </c:pt>
              </c:strCache>
            </c:strRef>
          </c:cat>
          <c:val>
            <c:numRef>
              <c:f>'GB200-300 Tracker'!$AJ$44:$AM$44</c:f>
              <c:numCache>
                <c:formatCode>#,##0</c:formatCode>
                <c:ptCount val="4"/>
                <c:pt idx="0">
                  <c:v>3950</c:v>
                </c:pt>
                <c:pt idx="1">
                  <c:v>4175</c:v>
                </c:pt>
                <c:pt idx="2">
                  <c:v>3000</c:v>
                </c:pt>
                <c:pt idx="3">
                  <c:v>3000</c:v>
                </c:pt>
              </c:numCache>
            </c:numRef>
          </c:val>
          <c:extLst>
            <c:ext xmlns:c16="http://schemas.microsoft.com/office/drawing/2014/chart" uri="{C3380CC4-5D6E-409C-BE32-E72D297353CC}">
              <c16:uniqueId val="{00000002-183E-46BA-9415-325F343E15EF}"/>
            </c:ext>
          </c:extLst>
        </c:ser>
        <c:ser>
          <c:idx val="3"/>
          <c:order val="3"/>
          <c:tx>
            <c:strRef>
              <c:f>'GB200-300 Tracker'!$AB$45</c:f>
              <c:strCache>
                <c:ptCount val="1"/>
                <c:pt idx="0">
                  <c:v>Wiwynn</c:v>
                </c:pt>
              </c:strCache>
            </c:strRef>
          </c:tx>
          <c:invertIfNegative val="0"/>
          <c:cat>
            <c:strRef>
              <c:f>'GB200-300 Tracker'!$AJ$39:$AM$39</c:f>
              <c:strCache>
                <c:ptCount val="4"/>
                <c:pt idx="0">
                  <c:v>1Q</c:v>
                </c:pt>
                <c:pt idx="1">
                  <c:v>2Q</c:v>
                </c:pt>
                <c:pt idx="2">
                  <c:v>3Q</c:v>
                </c:pt>
                <c:pt idx="3">
                  <c:v>4Q</c:v>
                </c:pt>
              </c:strCache>
            </c:strRef>
          </c:cat>
          <c:val>
            <c:numRef>
              <c:f>'GB200-300 Tracker'!$AJ$45:$AM$45</c:f>
              <c:numCache>
                <c:formatCode>#,##0</c:formatCode>
                <c:ptCount val="4"/>
                <c:pt idx="0">
                  <c:v>50</c:v>
                </c:pt>
                <c:pt idx="1">
                  <c:v>0</c:v>
                </c:pt>
                <c:pt idx="2">
                  <c:v>0</c:v>
                </c:pt>
                <c:pt idx="3">
                  <c:v>0</c:v>
                </c:pt>
              </c:numCache>
            </c:numRef>
          </c:val>
          <c:extLst>
            <c:ext xmlns:c16="http://schemas.microsoft.com/office/drawing/2014/chart" uri="{C3380CC4-5D6E-409C-BE32-E72D297353CC}">
              <c16:uniqueId val="{00000003-183E-46BA-9415-325F343E15EF}"/>
            </c:ext>
          </c:extLst>
        </c:ser>
        <c:ser>
          <c:idx val="4"/>
          <c:order val="4"/>
          <c:tx>
            <c:strRef>
              <c:f>'GB200-300 Tracker'!$AB$46</c:f>
              <c:strCache>
                <c:ptCount val="1"/>
                <c:pt idx="0">
                  <c:v>Others</c:v>
                </c:pt>
              </c:strCache>
            </c:strRef>
          </c:tx>
          <c:spPr>
            <a:solidFill>
              <a:srgbClr val="D0B86A"/>
            </a:solidFill>
          </c:spPr>
          <c:invertIfNegative val="0"/>
          <c:dLbls>
            <c:dLbl>
              <c:idx val="0"/>
              <c:layout>
                <c:manualLayout>
                  <c:x val="-2.5646711457379698E-17"/>
                  <c:y val="-9.8250860398327408E-2"/>
                </c:manualLayout>
              </c:layout>
              <c:tx>
                <c:rich>
                  <a:bodyPr/>
                  <a:lstStyle/>
                  <a:p>
                    <a:fld id="{49FA7097-05C2-4837-8638-32B1C52715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83E-46BA-9415-325F343E15EF}"/>
                </c:ext>
              </c:extLst>
            </c:dLbl>
            <c:dLbl>
              <c:idx val="1"/>
              <c:layout>
                <c:manualLayout>
                  <c:x val="-5.1293422914759396E-17"/>
                  <c:y val="-0.10718275679817536"/>
                </c:manualLayout>
              </c:layout>
              <c:tx>
                <c:rich>
                  <a:bodyPr/>
                  <a:lstStyle/>
                  <a:p>
                    <a:fld id="{E0754BC8-4D57-4F47-98EB-38851C64C2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83E-46BA-9415-325F343E15EF}"/>
                </c:ext>
              </c:extLst>
            </c:dLbl>
            <c:dLbl>
              <c:idx val="2"/>
              <c:layout>
                <c:manualLayout>
                  <c:x val="0"/>
                  <c:y val="-8.9318963998479509E-2"/>
                </c:manualLayout>
              </c:layout>
              <c:tx>
                <c:rich>
                  <a:bodyPr/>
                  <a:lstStyle/>
                  <a:p>
                    <a:fld id="{E26989B5-C23D-4783-8876-309D68F098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83E-46BA-9415-325F343E15EF}"/>
                </c:ext>
              </c:extLst>
            </c:dLbl>
            <c:dLbl>
              <c:idx val="3"/>
              <c:layout>
                <c:manualLayout>
                  <c:x val="0"/>
                  <c:y val="-7.1455171198783654E-2"/>
                </c:manualLayout>
              </c:layout>
              <c:tx>
                <c:rich>
                  <a:bodyPr/>
                  <a:lstStyle/>
                  <a:p>
                    <a:fld id="{3E89EF3A-E86A-40C1-8C3D-5E2EB5EFD5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83E-46BA-9415-325F343E15EF}"/>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'GB200-300 Tracker'!$AJ$39:$AM$39</c:f>
              <c:strCache>
                <c:ptCount val="4"/>
                <c:pt idx="0">
                  <c:v>1Q</c:v>
                </c:pt>
                <c:pt idx="1">
                  <c:v>2Q</c:v>
                </c:pt>
                <c:pt idx="2">
                  <c:v>3Q</c:v>
                </c:pt>
                <c:pt idx="3">
                  <c:v>4Q</c:v>
                </c:pt>
              </c:strCache>
            </c:strRef>
          </c:cat>
          <c:val>
            <c:numRef>
              <c:f>'GB200-300 Tracker'!$AJ$46:$AM$46</c:f>
              <c:numCache>
                <c:formatCode>#,##0</c:formatCode>
                <c:ptCount val="4"/>
                <c:pt idx="0">
                  <c:v>3350</c:v>
                </c:pt>
                <c:pt idx="1">
                  <c:v>3450</c:v>
                </c:pt>
                <c:pt idx="2">
                  <c:v>3000</c:v>
                </c:pt>
                <c:pt idx="3">
                  <c:v>3000</c:v>
                </c:pt>
              </c:numCache>
            </c:numRef>
          </c:val>
          <c:extLst>
            <c:ext xmlns:c15="http://schemas.microsoft.com/office/drawing/2012/chart" uri="{02D57815-91ED-43cb-92C2-25804820EDAC}">
              <c15:datalabelsRange>
                <c15:f>'GB200-300 Tracker'!$AJ$48:$AM$48</c15:f>
                <c15:dlblRangeCache>
                  <c:ptCount val="4"/>
                  <c:pt idx="0">
                    <c:v>20.8</c:v>
                  </c:pt>
                  <c:pt idx="1">
                    <c:v>24.9</c:v>
                  </c:pt>
                  <c:pt idx="2">
                    <c:v>18.4</c:v>
                  </c:pt>
                  <c:pt idx="3">
                    <c:v>13.3</c:v>
                  </c:pt>
                </c15:dlblRangeCache>
              </c15:datalabelsRange>
            </c:ext>
            <c:ext xmlns:c16="http://schemas.microsoft.com/office/drawing/2014/chart" uri="{C3380CC4-5D6E-409C-BE32-E72D297353CC}">
              <c16:uniqueId val="{00000008-183E-46BA-9415-325F343E15EF}"/>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max val="25000"/>
          <c:min val="0"/>
        </c:scaling>
        <c:delete val="1"/>
        <c:axPos val="l"/>
        <c:numFmt formatCode="#,##0" sourceLinked="1"/>
        <c:majorTickMark val="out"/>
        <c:minorTickMark val="none"/>
        <c:tickLblPos val="nextTo"/>
        <c:crossAx val="96755072"/>
        <c:crosses val="autoZero"/>
        <c:crossBetween val="between"/>
        <c:majorUnit val="10000"/>
      </c:valAx>
      <c:spPr>
        <a:noFill/>
        <a:ln w="25400">
          <a:noFill/>
        </a:ln>
        <a:extLst>
          <a:ext uri="{909E8E84-426E-40DD-AFC4-6F175D3DCCD1}">
            <a14:hiddenFill xmlns:a14="http://schemas.microsoft.com/office/drawing/2010/main">
              <a:solidFill>
                <a:sysClr val="window" lastClr="FFFFFF"/>
              </a:solidFill>
            </a14:hiddenFill>
          </a:ext>
        </a:extLst>
      </c:spPr>
    </c:plotArea>
    <c:legend>
      <c:legendPos val="t"/>
      <c:layout>
        <c:manualLayout>
          <c:xMode val="edge"/>
          <c:yMode val="edge"/>
          <c:x val="0.19927427821522306"/>
          <c:y val="0.92222222222222228"/>
          <c:w val="0.60145144356955382"/>
          <c:h val="7.7277631962671331E-2"/>
        </c:manualLayout>
      </c:layout>
      <c:overlay val="0"/>
      <c:spPr>
        <a:solidFill>
          <a:srgbClr val="FFFFFF"/>
        </a:solidFill>
      </c:spPr>
    </c:legend>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GB200/300 NVL72 racks by major ODMs (000s)</a:t>
            </a:r>
          </a:p>
        </c:rich>
      </c:tx>
      <c:layout>
        <c:manualLayout>
          <c:xMode val="edge"/>
          <c:yMode val="edge"/>
          <c:x val="0"/>
          <c:y val="0"/>
        </c:manualLayout>
      </c:layout>
      <c:overlay val="0"/>
    </c:title>
    <c:autoTitleDeleted val="0"/>
    <c:plotArea>
      <c:layout>
        <c:manualLayout>
          <c:layoutTarget val="inner"/>
          <c:xMode val="edge"/>
          <c:yMode val="edge"/>
          <c:x val="1.7094015211080563E-2"/>
          <c:y val="0.12946291522329215"/>
          <c:w val="0.98290598478891944"/>
          <c:h val="0.72449600719615459"/>
        </c:manualLayout>
      </c:layout>
      <c:barChart>
        <c:barDir val="col"/>
        <c:grouping val="stacked"/>
        <c:varyColors val="0"/>
        <c:ser>
          <c:idx val="0"/>
          <c:order val="0"/>
          <c:tx>
            <c:strRef>
              <c:f>'GB200-300 Tracker'!$AB$42</c:f>
              <c:strCache>
                <c:ptCount val="1"/>
                <c:pt idx="0">
                  <c:v>Hon Hai</c:v>
                </c:pt>
              </c:strCache>
            </c:strRef>
          </c:tx>
          <c:invertIfNegative val="0"/>
          <c:cat>
            <c:strRef>
              <c:f>('GB200-300 Tracker'!$AC$39:$AF$39,'GB200-300 Tracker'!$AJ$39:$AM$39)</c:f>
              <c:strCache>
                <c:ptCount val="8"/>
                <c:pt idx="0">
                  <c:v>1Q</c:v>
                </c:pt>
                <c:pt idx="1">
                  <c:v>2Q</c:v>
                </c:pt>
                <c:pt idx="2">
                  <c:v>3Q</c:v>
                </c:pt>
                <c:pt idx="3">
                  <c:v>4Q</c:v>
                </c:pt>
                <c:pt idx="4">
                  <c:v>1Q</c:v>
                </c:pt>
                <c:pt idx="5">
                  <c:v>2Q</c:v>
                </c:pt>
                <c:pt idx="6">
                  <c:v>3Q</c:v>
                </c:pt>
                <c:pt idx="7">
                  <c:v>4Q</c:v>
                </c:pt>
              </c:strCache>
            </c:strRef>
          </c:cat>
          <c:val>
            <c:numRef>
              <c:f>('GB200-300 Tracker'!$AC$42:$AF$42,'GB200-300 Tracker'!$AJ$42:$AM$42)</c:f>
              <c:numCache>
                <c:formatCode>#,##0</c:formatCode>
                <c:ptCount val="8"/>
                <c:pt idx="0">
                  <c:v>500</c:v>
                </c:pt>
                <c:pt idx="1">
                  <c:v>1600</c:v>
                </c:pt>
                <c:pt idx="2">
                  <c:v>4800</c:v>
                </c:pt>
                <c:pt idx="3">
                  <c:v>7800</c:v>
                </c:pt>
                <c:pt idx="4">
                  <c:v>8500</c:v>
                </c:pt>
                <c:pt idx="5">
                  <c:v>10000</c:v>
                </c:pt>
                <c:pt idx="6">
                  <c:v>7500</c:v>
                </c:pt>
                <c:pt idx="7">
                  <c:v>5700</c:v>
                </c:pt>
              </c:numCache>
            </c:numRef>
          </c:val>
          <c:extLst>
            <c:ext xmlns:c16="http://schemas.microsoft.com/office/drawing/2014/chart" uri="{C3380CC4-5D6E-409C-BE32-E72D297353CC}">
              <c16:uniqueId val="{00000000-083F-4BEC-8613-93C8EC36E552}"/>
            </c:ext>
          </c:extLst>
        </c:ser>
        <c:ser>
          <c:idx val="1"/>
          <c:order val="1"/>
          <c:tx>
            <c:strRef>
              <c:f>'GB200-300 Tracker'!$AB$43</c:f>
              <c:strCache>
                <c:ptCount val="1"/>
                <c:pt idx="0">
                  <c:v>Quanta</c:v>
                </c:pt>
              </c:strCache>
            </c:strRef>
          </c:tx>
          <c:spPr>
            <a:solidFill>
              <a:srgbClr val="EADFBC"/>
            </a:solidFill>
          </c:spPr>
          <c:invertIfNegative val="0"/>
          <c:cat>
            <c:strRef>
              <c:f>('GB200-300 Tracker'!$AC$39:$AF$39,'GB200-300 Tracker'!$AJ$39:$AM$39)</c:f>
              <c:strCache>
                <c:ptCount val="8"/>
                <c:pt idx="0">
                  <c:v>1Q</c:v>
                </c:pt>
                <c:pt idx="1">
                  <c:v>2Q</c:v>
                </c:pt>
                <c:pt idx="2">
                  <c:v>3Q</c:v>
                </c:pt>
                <c:pt idx="3">
                  <c:v>4Q</c:v>
                </c:pt>
                <c:pt idx="4">
                  <c:v>1Q</c:v>
                </c:pt>
                <c:pt idx="5">
                  <c:v>2Q</c:v>
                </c:pt>
                <c:pt idx="6">
                  <c:v>3Q</c:v>
                </c:pt>
                <c:pt idx="7">
                  <c:v>4Q</c:v>
                </c:pt>
              </c:strCache>
            </c:strRef>
          </c:cat>
          <c:val>
            <c:numRef>
              <c:f>('GB200-300 Tracker'!$AC$43:$AF$43,'GB200-300 Tracker'!$AJ$43:$AM$43)</c:f>
              <c:numCache>
                <c:formatCode>#,##0</c:formatCode>
                <c:ptCount val="8"/>
                <c:pt idx="0">
                  <c:v>200</c:v>
                </c:pt>
                <c:pt idx="1">
                  <c:v>800</c:v>
                </c:pt>
                <c:pt idx="2">
                  <c:v>1554</c:v>
                </c:pt>
                <c:pt idx="3">
                  <c:v>3570</c:v>
                </c:pt>
                <c:pt idx="4">
                  <c:v>4925</c:v>
                </c:pt>
                <c:pt idx="5">
                  <c:v>7300</c:v>
                </c:pt>
                <c:pt idx="6">
                  <c:v>4900</c:v>
                </c:pt>
                <c:pt idx="7">
                  <c:v>1575</c:v>
                </c:pt>
              </c:numCache>
            </c:numRef>
          </c:val>
          <c:extLst>
            <c:ext xmlns:c16="http://schemas.microsoft.com/office/drawing/2014/chart" uri="{C3380CC4-5D6E-409C-BE32-E72D297353CC}">
              <c16:uniqueId val="{00000001-083F-4BEC-8613-93C8EC36E552}"/>
            </c:ext>
          </c:extLst>
        </c:ser>
        <c:ser>
          <c:idx val="2"/>
          <c:order val="2"/>
          <c:tx>
            <c:strRef>
              <c:f>'GB200-300 Tracker'!$AB$44</c:f>
              <c:strCache>
                <c:ptCount val="1"/>
                <c:pt idx="0">
                  <c:v>Wistron</c:v>
                </c:pt>
              </c:strCache>
            </c:strRef>
          </c:tx>
          <c:invertIfNegative val="0"/>
          <c:cat>
            <c:strRef>
              <c:f>('GB200-300 Tracker'!$AC$39:$AF$39,'GB200-300 Tracker'!$AJ$39:$AM$39)</c:f>
              <c:strCache>
                <c:ptCount val="8"/>
                <c:pt idx="0">
                  <c:v>1Q</c:v>
                </c:pt>
                <c:pt idx="1">
                  <c:v>2Q</c:v>
                </c:pt>
                <c:pt idx="2">
                  <c:v>3Q</c:v>
                </c:pt>
                <c:pt idx="3">
                  <c:v>4Q</c:v>
                </c:pt>
                <c:pt idx="4">
                  <c:v>1Q</c:v>
                </c:pt>
                <c:pt idx="5">
                  <c:v>2Q</c:v>
                </c:pt>
                <c:pt idx="6">
                  <c:v>3Q</c:v>
                </c:pt>
                <c:pt idx="7">
                  <c:v>4Q</c:v>
                </c:pt>
              </c:strCache>
            </c:strRef>
          </c:cat>
          <c:val>
            <c:numRef>
              <c:f>('GB200-300 Tracker'!$AC$44:$AF$44,'GB200-300 Tracker'!$AJ$44:$AM$44)</c:f>
              <c:numCache>
                <c:formatCode>#,##0</c:formatCode>
                <c:ptCount val="8"/>
                <c:pt idx="0">
                  <c:v>200</c:v>
                </c:pt>
                <c:pt idx="1">
                  <c:v>1860</c:v>
                </c:pt>
                <c:pt idx="2">
                  <c:v>1240</c:v>
                </c:pt>
                <c:pt idx="3">
                  <c:v>2425</c:v>
                </c:pt>
                <c:pt idx="4">
                  <c:v>3950</c:v>
                </c:pt>
                <c:pt idx="5">
                  <c:v>4175</c:v>
                </c:pt>
                <c:pt idx="6">
                  <c:v>3000</c:v>
                </c:pt>
                <c:pt idx="7">
                  <c:v>3000</c:v>
                </c:pt>
              </c:numCache>
            </c:numRef>
          </c:val>
          <c:extLst>
            <c:ext xmlns:c16="http://schemas.microsoft.com/office/drawing/2014/chart" uri="{C3380CC4-5D6E-409C-BE32-E72D297353CC}">
              <c16:uniqueId val="{00000002-083F-4BEC-8613-93C8EC36E552}"/>
            </c:ext>
          </c:extLst>
        </c:ser>
        <c:ser>
          <c:idx val="3"/>
          <c:order val="3"/>
          <c:tx>
            <c:strRef>
              <c:f>'GB200-300 Tracker'!$AB$45</c:f>
              <c:strCache>
                <c:ptCount val="1"/>
                <c:pt idx="0">
                  <c:v>Wiwynn</c:v>
                </c:pt>
              </c:strCache>
            </c:strRef>
          </c:tx>
          <c:invertIfNegative val="0"/>
          <c:cat>
            <c:strRef>
              <c:f>('GB200-300 Tracker'!$AC$39:$AF$39,'GB200-300 Tracker'!$AJ$39:$AM$39)</c:f>
              <c:strCache>
                <c:ptCount val="8"/>
                <c:pt idx="0">
                  <c:v>1Q</c:v>
                </c:pt>
                <c:pt idx="1">
                  <c:v>2Q</c:v>
                </c:pt>
                <c:pt idx="2">
                  <c:v>3Q</c:v>
                </c:pt>
                <c:pt idx="3">
                  <c:v>4Q</c:v>
                </c:pt>
                <c:pt idx="4">
                  <c:v>1Q</c:v>
                </c:pt>
                <c:pt idx="5">
                  <c:v>2Q</c:v>
                </c:pt>
                <c:pt idx="6">
                  <c:v>3Q</c:v>
                </c:pt>
                <c:pt idx="7">
                  <c:v>4Q</c:v>
                </c:pt>
              </c:strCache>
            </c:strRef>
          </c:cat>
          <c:val>
            <c:numRef>
              <c:f>('GB200-300 Tracker'!$AC$45:$AF$45,'GB200-300 Tracker'!$AJ$45:$AM$45)</c:f>
              <c:numCache>
                <c:formatCode>#,##0</c:formatCode>
                <c:ptCount val="8"/>
                <c:pt idx="0">
                  <c:v>5</c:v>
                </c:pt>
                <c:pt idx="1">
                  <c:v>20</c:v>
                </c:pt>
                <c:pt idx="2">
                  <c:v>120</c:v>
                </c:pt>
                <c:pt idx="3">
                  <c:v>430</c:v>
                </c:pt>
                <c:pt idx="4">
                  <c:v>50</c:v>
                </c:pt>
                <c:pt idx="5">
                  <c:v>0</c:v>
                </c:pt>
                <c:pt idx="6">
                  <c:v>0</c:v>
                </c:pt>
                <c:pt idx="7">
                  <c:v>0</c:v>
                </c:pt>
              </c:numCache>
            </c:numRef>
          </c:val>
          <c:extLst>
            <c:ext xmlns:c16="http://schemas.microsoft.com/office/drawing/2014/chart" uri="{C3380CC4-5D6E-409C-BE32-E72D297353CC}">
              <c16:uniqueId val="{00000003-083F-4BEC-8613-93C8EC36E552}"/>
            </c:ext>
          </c:extLst>
        </c:ser>
        <c:ser>
          <c:idx val="4"/>
          <c:order val="4"/>
          <c:tx>
            <c:strRef>
              <c:f>'GB200-300 Tracker'!$AB$46</c:f>
              <c:strCache>
                <c:ptCount val="1"/>
                <c:pt idx="0">
                  <c:v>Others</c:v>
                </c:pt>
              </c:strCache>
            </c:strRef>
          </c:tx>
          <c:spPr>
            <a:solidFill>
              <a:srgbClr val="D0B86A"/>
            </a:solidFill>
          </c:spPr>
          <c:invertIfNegative val="0"/>
          <c:dLbls>
            <c:dLbl>
              <c:idx val="0"/>
              <c:layout>
                <c:manualLayout>
                  <c:x val="-6.4116778643449245E-18"/>
                  <c:y val="-4.9125430199163704E-2"/>
                </c:manualLayout>
              </c:layout>
              <c:tx>
                <c:rich>
                  <a:bodyPr/>
                  <a:lstStyle/>
                  <a:p>
                    <a:fld id="{6EB767C1-4A2C-4D1A-9B1D-6EED13238F3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83F-4BEC-8613-93C8EC36E552}"/>
                </c:ext>
              </c:extLst>
            </c:dLbl>
            <c:dLbl>
              <c:idx val="1"/>
              <c:layout>
                <c:manualLayout>
                  <c:x val="0"/>
                  <c:y val="-4.0193533799315839E-2"/>
                </c:manualLayout>
              </c:layout>
              <c:tx>
                <c:rich>
                  <a:bodyPr/>
                  <a:lstStyle/>
                  <a:p>
                    <a:fld id="{75AE6B88-B641-43F2-9DCF-BC720753478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83F-4BEC-8613-93C8EC36E552}"/>
                </c:ext>
              </c:extLst>
            </c:dLbl>
            <c:dLbl>
              <c:idx val="2"/>
              <c:layout>
                <c:manualLayout>
                  <c:x val="0"/>
                  <c:y val="-4.0193533799315763E-2"/>
                </c:manualLayout>
              </c:layout>
              <c:tx>
                <c:rich>
                  <a:bodyPr/>
                  <a:lstStyle/>
                  <a:p>
                    <a:fld id="{7E556CBE-79F8-44CE-A22C-51CC6B42D87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83F-4BEC-8613-93C8EC36E552}"/>
                </c:ext>
              </c:extLst>
            </c:dLbl>
            <c:dLbl>
              <c:idx val="3"/>
              <c:layout>
                <c:manualLayout>
                  <c:x val="-5.1293422914759396E-17"/>
                  <c:y val="-5.3591378399087723E-2"/>
                </c:manualLayout>
              </c:layout>
              <c:tx>
                <c:rich>
                  <a:bodyPr/>
                  <a:lstStyle/>
                  <a:p>
                    <a:fld id="{1136BF9E-D804-4E38-A9A9-D393C4ED9B4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83F-4BEC-8613-93C8EC36E552}"/>
                </c:ext>
              </c:extLst>
            </c:dLbl>
            <c:dLbl>
              <c:idx val="4"/>
              <c:layout>
                <c:manualLayout>
                  <c:x val="0"/>
                  <c:y val="-7.5921119398707548E-2"/>
                </c:manualLayout>
              </c:layout>
              <c:tx>
                <c:rich>
                  <a:bodyPr/>
                  <a:lstStyle/>
                  <a:p>
                    <a:fld id="{4812B304-7CDD-45A3-AE5D-3217B57FB8F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83F-4BEC-8613-93C8EC36E552}"/>
                </c:ext>
              </c:extLst>
            </c:dLbl>
            <c:dLbl>
              <c:idx val="5"/>
              <c:layout>
                <c:manualLayout>
                  <c:x val="0"/>
                  <c:y val="-8.4853015798555517E-2"/>
                </c:manualLayout>
              </c:layout>
              <c:tx>
                <c:rich>
                  <a:bodyPr/>
                  <a:lstStyle/>
                  <a:p>
                    <a:fld id="{CF7B1D88-74C5-41A6-BC0A-6D96969C091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83F-4BEC-8613-93C8EC36E552}"/>
                </c:ext>
              </c:extLst>
            </c:dLbl>
            <c:dLbl>
              <c:idx val="6"/>
              <c:layout>
                <c:manualLayout>
                  <c:x val="-1.0258684582951879E-16"/>
                  <c:y val="-8.0387067598631526E-2"/>
                </c:manualLayout>
              </c:layout>
              <c:tx>
                <c:rich>
                  <a:bodyPr/>
                  <a:lstStyle/>
                  <a:p>
                    <a:fld id="{F4F5DD6E-9842-425C-BBCE-BF73D1215DA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83F-4BEC-8613-93C8EC36E552}"/>
                </c:ext>
              </c:extLst>
            </c:dLbl>
            <c:dLbl>
              <c:idx val="7"/>
              <c:layout>
                <c:manualLayout>
                  <c:x val="0"/>
                  <c:y val="-8.4853015798555489E-2"/>
                </c:manualLayout>
              </c:layout>
              <c:tx>
                <c:rich>
                  <a:bodyPr/>
                  <a:lstStyle/>
                  <a:p>
                    <a:fld id="{A6B9E649-8178-42C5-86D6-B8463C3DAF9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83F-4BEC-8613-93C8EC36E552}"/>
                </c:ext>
              </c:extLst>
            </c:dLbl>
            <c:spPr>
              <a:noFill/>
              <a:ln>
                <a:noFill/>
              </a:ln>
              <a:effectLst/>
            </c:sp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('GB200-300 Tracker'!$AC$39:$AF$39,'GB200-300 Tracker'!$AJ$39:$AM$39)</c:f>
              <c:strCache>
                <c:ptCount val="8"/>
                <c:pt idx="0">
                  <c:v>1Q</c:v>
                </c:pt>
                <c:pt idx="1">
                  <c:v>2Q</c:v>
                </c:pt>
                <c:pt idx="2">
                  <c:v>3Q</c:v>
                </c:pt>
                <c:pt idx="3">
                  <c:v>4Q</c:v>
                </c:pt>
                <c:pt idx="4">
                  <c:v>1Q</c:v>
                </c:pt>
                <c:pt idx="5">
                  <c:v>2Q</c:v>
                </c:pt>
                <c:pt idx="6">
                  <c:v>3Q</c:v>
                </c:pt>
                <c:pt idx="7">
                  <c:v>4Q</c:v>
                </c:pt>
              </c:strCache>
            </c:strRef>
          </c:cat>
          <c:val>
            <c:numRef>
              <c:f>('GB200-300 Tracker'!$AC$46:$AF$46,'GB200-300 Tracker'!$AJ$46:$AM$46)</c:f>
              <c:numCache>
                <c:formatCode>#,##0</c:formatCode>
                <c:ptCount val="8"/>
                <c:pt idx="0">
                  <c:v>3</c:v>
                </c:pt>
                <c:pt idx="1">
                  <c:v>16</c:v>
                </c:pt>
                <c:pt idx="2">
                  <c:v>550</c:v>
                </c:pt>
                <c:pt idx="3">
                  <c:v>1225</c:v>
                </c:pt>
                <c:pt idx="4">
                  <c:v>3350</c:v>
                </c:pt>
                <c:pt idx="5">
                  <c:v>3450</c:v>
                </c:pt>
                <c:pt idx="6">
                  <c:v>3000</c:v>
                </c:pt>
                <c:pt idx="7">
                  <c:v>3000</c:v>
                </c:pt>
              </c:numCache>
            </c:numRef>
          </c:val>
          <c:extLst>
            <c:ext xmlns:c15="http://schemas.microsoft.com/office/drawing/2012/chart" uri="{02D57815-91ED-43cb-92C2-25804820EDAC}">
              <c15:datalabelsRange>
                <c15:f>('GB200-300 Tracker'!$AC$48:$AF$48,'GB200-300 Tracker'!$AJ$48:$AM$48)</c15:f>
                <c15:dlblRangeCache>
                  <c:ptCount val="8"/>
                  <c:pt idx="0">
                    <c:v>0.9</c:v>
                  </c:pt>
                  <c:pt idx="1">
                    <c:v>4.3</c:v>
                  </c:pt>
                  <c:pt idx="2">
                    <c:v>8.3</c:v>
                  </c:pt>
                  <c:pt idx="3">
                    <c:v>15.5</c:v>
                  </c:pt>
                  <c:pt idx="4">
                    <c:v>20.8</c:v>
                  </c:pt>
                  <c:pt idx="5">
                    <c:v>24.9</c:v>
                  </c:pt>
                  <c:pt idx="6">
                    <c:v>18.4</c:v>
                  </c:pt>
                  <c:pt idx="7">
                    <c:v>13.3</c:v>
                  </c:pt>
                </c15:dlblRangeCache>
              </c15:datalabelsRange>
            </c:ext>
            <c:ext xmlns:c16="http://schemas.microsoft.com/office/drawing/2014/chart" uri="{C3380CC4-5D6E-409C-BE32-E72D297353CC}">
              <c16:uniqueId val="{0000000C-083F-4BEC-8613-93C8EC36E552}"/>
            </c:ext>
          </c:extLst>
        </c:ser>
        <c:dLbls>
          <c:showLegendKey val="0"/>
          <c:showVal val="0"/>
          <c:showCatName val="0"/>
          <c:showSerName val="0"/>
          <c:showPercent val="0"/>
          <c:showBubbleSize val="0"/>
        </c:dLbls>
        <c:gapWidth val="150"/>
        <c:overlap val="100"/>
        <c:axId val="96755072"/>
        <c:axId val="96760960"/>
      </c:barChart>
      <c:catAx>
        <c:axId val="96755072"/>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760960"/>
        <c:crosses val="autoZero"/>
        <c:auto val="1"/>
        <c:lblAlgn val="ctr"/>
        <c:lblOffset val="100"/>
        <c:noMultiLvlLbl val="0"/>
      </c:catAx>
      <c:valAx>
        <c:axId val="96760960"/>
        <c:scaling>
          <c:orientation val="minMax"/>
          <c:max val="25000"/>
          <c:min val="0"/>
        </c:scaling>
        <c:delete val="1"/>
        <c:axPos val="l"/>
        <c:numFmt formatCode="#,##0" sourceLinked="1"/>
        <c:majorTickMark val="out"/>
        <c:minorTickMark val="none"/>
        <c:tickLblPos val="nextTo"/>
        <c:crossAx val="96755072"/>
        <c:crosses val="autoZero"/>
        <c:crossBetween val="between"/>
        <c:majorUnit val="10000"/>
      </c:valAx>
      <c:spPr>
        <a:noFill/>
        <a:ln w="25400">
          <a:noFill/>
        </a:ln>
        <a:extLst>
          <a:ext uri="{909E8E84-426E-40DD-AFC4-6F175D3DCCD1}">
            <a14:hiddenFill xmlns:a14="http://schemas.microsoft.com/office/drawing/2010/main">
              <a:solidFill>
                <a:sysClr val="window" lastClr="FFFFFF"/>
              </a:solidFill>
            </a14:hiddenFill>
          </a:ext>
        </a:extLst>
      </c:spPr>
    </c:plotArea>
    <c:legend>
      <c:legendPos val="t"/>
      <c:layout>
        <c:manualLayout>
          <c:xMode val="edge"/>
          <c:yMode val="edge"/>
          <c:x val="0.19927427821522306"/>
          <c:y val="0.92222222222222228"/>
          <c:w val="0.60608421192234474"/>
          <c:h val="7.4545466693345136E-2"/>
        </c:manualLayout>
      </c:layout>
      <c:overlay val="0"/>
      <c:spPr>
        <a:solidFill>
          <a:srgbClr val="FFFFFF"/>
        </a:solidFill>
      </c:spPr>
    </c:legend>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GB200 NVL72 vs GB300 NVL72 vs VR200 NVL72</a:t>
            </a:r>
            <a:br>
              <a:rPr lang="en-US" sz="1100" b="1">
                <a:solidFill>
                  <a:srgbClr val="000000"/>
                </a:solidFill>
                <a:latin typeface="Roboto Condensed" panose="02000000000000000000" pitchFamily="2" charset="0"/>
              </a:rPr>
            </a:br>
            <a:r>
              <a:rPr lang="en-US" sz="1100" b="1">
                <a:solidFill>
                  <a:srgbClr val="000000"/>
                </a:solidFill>
                <a:latin typeface="Roboto Condensed" panose="02000000000000000000" pitchFamily="2" charset="0"/>
              </a:rPr>
              <a:t>(Bill of Materials Comparison)</a:t>
            </a:r>
          </a:p>
        </c:rich>
      </c:tx>
      <c:overlay val="0"/>
    </c:title>
    <c:autoTitleDeleted val="0"/>
    <c:plotArea>
      <c:layout>
        <c:manualLayout>
          <c:layoutTarget val="inner"/>
          <c:xMode val="edge"/>
          <c:yMode val="edge"/>
          <c:x val="2.6278741079810913E-2"/>
          <c:y val="0.10606738893774562"/>
          <c:w val="0.94493978059468187"/>
          <c:h val="0.8017777166465071"/>
        </c:manualLayout>
      </c:layout>
      <c:barChart>
        <c:barDir val="col"/>
        <c:grouping val="percentStacked"/>
        <c:varyColors val="0"/>
        <c:ser>
          <c:idx val="0"/>
          <c:order val="0"/>
          <c:tx>
            <c:strRef>
              <c:f>'NVL72 BoM Comparison'!$B$21</c:f>
              <c:strCache>
                <c:ptCount val="1"/>
                <c:pt idx="0">
                  <c:v>GPU</c:v>
                </c:pt>
              </c:strCache>
            </c:strRef>
          </c:tx>
          <c:spPr>
            <a:solidFill>
              <a:srgbClr val="005AA4"/>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Comparison'!$C$21:$E$21</c:f>
              <c:numCache>
                <c:formatCode>0%</c:formatCode>
                <c:ptCount val="3"/>
                <c:pt idx="0">
                  <c:v>0.64874164144449942</c:v>
                </c:pt>
                <c:pt idx="1">
                  <c:v>0.63085940925890993</c:v>
                </c:pt>
                <c:pt idx="2">
                  <c:v>0.50748751262471303</c:v>
                </c:pt>
              </c:numCache>
            </c:numRef>
          </c:val>
          <c:extLst>
            <c:ext xmlns:c16="http://schemas.microsoft.com/office/drawing/2014/chart" uri="{C3380CC4-5D6E-409C-BE32-E72D297353CC}">
              <c16:uniqueId val="{00000000-61CB-4374-A5B8-05DBBC20BAF7}"/>
            </c:ext>
          </c:extLst>
        </c:ser>
        <c:ser>
          <c:idx val="1"/>
          <c:order val="1"/>
          <c:tx>
            <c:strRef>
              <c:f>'NVL72 BoM Comparison'!$B$22</c:f>
              <c:strCache>
                <c:ptCount val="1"/>
                <c:pt idx="0">
                  <c:v>CPU</c:v>
                </c:pt>
              </c:strCache>
            </c:strRef>
          </c:tx>
          <c:spPr>
            <a:solidFill>
              <a:srgbClr val="EADFBC"/>
            </a:solidFill>
          </c:spPr>
          <c:invertIfNegative val="0"/>
          <c:dLbls>
            <c:dLbl>
              <c:idx val="1"/>
              <c:layout>
                <c:manualLayout>
                  <c:x val="1.4033064509136369E-3"/>
                  <c:y val="-3.1723486848161378E-4"/>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61CB-4374-A5B8-05DBBC20BAF7}"/>
                </c:ext>
              </c:extLst>
            </c:dLbl>
            <c:dLbl>
              <c:idx val="2"/>
              <c:layout>
                <c:manualLayout>
                  <c:x val="-2.5027372456962772E-3"/>
                  <c:y val="2.0629200356965627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61CB-4374-A5B8-05DBBC20BAF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Comparison'!$C$22:$E$22</c:f>
              <c:numCache>
                <c:formatCode>0%</c:formatCode>
                <c:ptCount val="3"/>
                <c:pt idx="0">
                  <c:v>5.4061803453708285E-2</c:v>
                </c:pt>
                <c:pt idx="1">
                  <c:v>4.506138637563642E-2</c:v>
                </c:pt>
                <c:pt idx="2">
                  <c:v>2.5374375631235652E-2</c:v>
                </c:pt>
              </c:numCache>
            </c:numRef>
          </c:val>
          <c:extLst>
            <c:ext xmlns:c16="http://schemas.microsoft.com/office/drawing/2014/chart" uri="{C3380CC4-5D6E-409C-BE32-E72D297353CC}">
              <c16:uniqueId val="{00000003-61CB-4374-A5B8-05DBBC20BAF7}"/>
            </c:ext>
          </c:extLst>
        </c:ser>
        <c:ser>
          <c:idx val="2"/>
          <c:order val="2"/>
          <c:tx>
            <c:strRef>
              <c:f>'NVL72 BoM Comparison'!$B$23</c:f>
              <c:strCache>
                <c:ptCount val="1"/>
                <c:pt idx="0">
                  <c:v>NVLink Switch chip</c:v>
                </c:pt>
              </c:strCache>
            </c:strRef>
          </c:tx>
          <c:spPr>
            <a:solidFill>
              <a:srgbClr val="226B5A"/>
            </a:solidFill>
          </c:spPr>
          <c:invertIfNegative val="0"/>
          <c:dLbls>
            <c:dLbl>
              <c:idx val="0"/>
              <c:layout>
                <c:manualLayout>
                  <c:x val="0.12435232545672999"/>
                  <c:y val="-3.7819763757300159E-17"/>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61CB-4374-A5B8-05DBBC20BAF7}"/>
                </c:ext>
              </c:extLst>
            </c:dLbl>
            <c:dLbl>
              <c:idx val="1"/>
              <c:layout>
                <c:manualLayout>
                  <c:x val="0.13040305499479343"/>
                  <c:y val="4.1258400713932771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61CB-4374-A5B8-05DBBC20BAF7}"/>
                </c:ext>
              </c:extLst>
            </c:dLbl>
            <c:dLbl>
              <c:idx val="2"/>
              <c:layout>
                <c:manualLayout>
                  <c:x val="0.12763959953050996"/>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1CB-4374-A5B8-05DBBC20BAF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Comparison'!$C$23:$E$23</c:f>
              <c:numCache>
                <c:formatCode>0%</c:formatCode>
                <c:ptCount val="3"/>
                <c:pt idx="0">
                  <c:v>1.9462249243334982E-2</c:v>
                </c:pt>
                <c:pt idx="1">
                  <c:v>1.6222099095229113E-2</c:v>
                </c:pt>
                <c:pt idx="2">
                  <c:v>1.8454091368171381E-2</c:v>
                </c:pt>
              </c:numCache>
            </c:numRef>
          </c:val>
          <c:extLst>
            <c:ext xmlns:c16="http://schemas.microsoft.com/office/drawing/2014/chart" uri="{C3380CC4-5D6E-409C-BE32-E72D297353CC}">
              <c16:uniqueId val="{00000007-61CB-4374-A5B8-05DBBC20BAF7}"/>
            </c:ext>
          </c:extLst>
        </c:ser>
        <c:ser>
          <c:idx val="3"/>
          <c:order val="3"/>
          <c:tx>
            <c:strRef>
              <c:f>'NVL72 BoM Comparison'!$B$24</c:f>
              <c:strCache>
                <c:ptCount val="1"/>
                <c:pt idx="0">
                  <c:v>Other networking chips</c:v>
                </c:pt>
              </c:strCache>
            </c:strRef>
          </c:tx>
          <c:spPr>
            <a:solidFill>
              <a:srgbClr val="8CD5F2"/>
            </a:solidFill>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Comparison'!$C$24:$E$24</c:f>
              <c:numCache>
                <c:formatCode>0%</c:formatCode>
                <c:ptCount val="3"/>
                <c:pt idx="0">
                  <c:v>4.8655623108337452E-2</c:v>
                </c:pt>
                <c:pt idx="1">
                  <c:v>6.5339010244672813E-2</c:v>
                </c:pt>
                <c:pt idx="2">
                  <c:v>7.3816365472685525E-2</c:v>
                </c:pt>
              </c:numCache>
            </c:numRef>
          </c:val>
          <c:extLst>
            <c:ext xmlns:c16="http://schemas.microsoft.com/office/drawing/2014/chart" uri="{C3380CC4-5D6E-409C-BE32-E72D297353CC}">
              <c16:uniqueId val="{00000008-61CB-4374-A5B8-05DBBC20BAF7}"/>
            </c:ext>
          </c:extLst>
        </c:ser>
        <c:ser>
          <c:idx val="4"/>
          <c:order val="4"/>
          <c:tx>
            <c:strRef>
              <c:f>'NVL72 BoM Comparison'!$B$25</c:f>
              <c:strCache>
                <c:ptCount val="1"/>
                <c:pt idx="0">
                  <c:v>Memory</c:v>
                </c:pt>
              </c:strCache>
            </c:strRef>
          </c:tx>
          <c:spPr>
            <a:solidFill>
              <a:srgbClr val="D0B86A"/>
            </a:solidFill>
            <a:ln w="25400">
              <a:noFill/>
            </a:ln>
          </c:spPr>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Comparison'!$C$25:$E$25</c:f>
              <c:numCache>
                <c:formatCode>0%</c:formatCode>
                <c:ptCount val="3"/>
                <c:pt idx="0">
                  <c:v>6.9977598390479998E-2</c:v>
                </c:pt>
                <c:pt idx="1">
                  <c:v>9.3612326512202124E-2</c:v>
                </c:pt>
                <c:pt idx="2">
                  <c:v>0.25651187001758219</c:v>
                </c:pt>
              </c:numCache>
            </c:numRef>
          </c:val>
          <c:extLst>
            <c:ext xmlns:c16="http://schemas.microsoft.com/office/drawing/2014/chart" uri="{C3380CC4-5D6E-409C-BE32-E72D297353CC}">
              <c16:uniqueId val="{00000009-61CB-4374-A5B8-05DBBC20BAF7}"/>
            </c:ext>
          </c:extLst>
        </c:ser>
        <c:ser>
          <c:idx val="5"/>
          <c:order val="5"/>
          <c:tx>
            <c:strRef>
              <c:f>'NVL72 BoM Comparison'!$B$26</c:f>
              <c:strCache>
                <c:ptCount val="1"/>
                <c:pt idx="0">
                  <c:v>Cooling</c:v>
                </c:pt>
              </c:strCache>
            </c:strRef>
          </c:tx>
          <c:spPr>
            <a:solidFill>
              <a:srgbClr val="93DECC"/>
            </a:solidFill>
            <a:ln w="25400">
              <a:noFill/>
            </a:ln>
          </c:spPr>
          <c:invertIfNegative val="0"/>
          <c:dLbls>
            <c:dLbl>
              <c:idx val="0"/>
              <c:layout>
                <c:manualLayout>
                  <c:x val="0.10425497992836957"/>
                  <c:y val="3.094380053544953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61CB-4374-A5B8-05DBBC20BAF7}"/>
                </c:ext>
              </c:extLst>
            </c:dLbl>
            <c:dLbl>
              <c:idx val="1"/>
              <c:layout>
                <c:manualLayout>
                  <c:x val="0.10804474342410715"/>
                  <c:y val="3.758591574644731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61CB-4374-A5B8-05DBBC20BAF7}"/>
                </c:ext>
              </c:extLst>
            </c:dLbl>
            <c:dLbl>
              <c:idx val="2"/>
              <c:layout>
                <c:manualLayout>
                  <c:x val="0.10761770156493992"/>
                  <c:y val="4.125840071393272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61CB-4374-A5B8-05DBBC20BAF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Comparison'!$C$26:$E$26</c:f>
              <c:numCache>
                <c:formatCode>0%</c:formatCode>
                <c:ptCount val="3"/>
                <c:pt idx="0">
                  <c:v>1.6756155637124362E-2</c:v>
                </c:pt>
                <c:pt idx="1">
                  <c:v>1.6174534298499275E-2</c:v>
                </c:pt>
                <c:pt idx="2">
                  <c:v>9.2372979570680084E-3</c:v>
                </c:pt>
              </c:numCache>
            </c:numRef>
          </c:val>
          <c:extLst>
            <c:ext xmlns:c16="http://schemas.microsoft.com/office/drawing/2014/chart" uri="{C3380CC4-5D6E-409C-BE32-E72D297353CC}">
              <c16:uniqueId val="{0000000D-61CB-4374-A5B8-05DBBC20BAF7}"/>
            </c:ext>
          </c:extLst>
        </c:ser>
        <c:ser>
          <c:idx val="6"/>
          <c:order val="6"/>
          <c:tx>
            <c:strRef>
              <c:f>'NVL72 BoM Comparison'!$B$27</c:f>
              <c:strCache>
                <c:ptCount val="1"/>
                <c:pt idx="0">
                  <c:v>Power supply</c:v>
                </c:pt>
              </c:strCache>
            </c:strRef>
          </c:tx>
          <c:spPr>
            <a:solidFill>
              <a:srgbClr val="6769E2"/>
            </a:solidFill>
            <a:ln w="25400">
              <a:noFill/>
            </a:ln>
          </c:spPr>
          <c:invertIfNegative val="0"/>
          <c:dLbls>
            <c:dLbl>
              <c:idx val="0"/>
              <c:layout>
                <c:manualLayout>
                  <c:x val="0.11681582088359482"/>
                  <c:y val="1.856628032126974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61CB-4374-A5B8-05DBBC20BAF7}"/>
                </c:ext>
              </c:extLst>
            </c:dLbl>
            <c:dLbl>
              <c:idx val="1"/>
              <c:layout>
                <c:manualLayout>
                  <c:x val="0.11962345037209988"/>
                  <c:y val="2.384816778589550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61CB-4374-A5B8-05DBBC20BAF7}"/>
                </c:ext>
              </c:extLst>
            </c:dLbl>
            <c:dLbl>
              <c:idx val="2"/>
              <c:layout>
                <c:manualLayout>
                  <c:x val="0.12013138779342131"/>
                  <c:y val="2.062920035696634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61CB-4374-A5B8-05DBBC20BAF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Comparison'!$C$27:$E$27</c:f>
              <c:numCache>
                <c:formatCode>0%</c:formatCode>
                <c:ptCount val="3"/>
                <c:pt idx="0">
                  <c:v>1.0812360690741657E-2</c:v>
                </c:pt>
                <c:pt idx="1">
                  <c:v>1.4419643640203655E-2</c:v>
                </c:pt>
                <c:pt idx="2">
                  <c:v>9.739659333201563E-3</c:v>
                </c:pt>
              </c:numCache>
            </c:numRef>
          </c:val>
          <c:extLst>
            <c:ext xmlns:c16="http://schemas.microsoft.com/office/drawing/2014/chart" uri="{C3380CC4-5D6E-409C-BE32-E72D297353CC}">
              <c16:uniqueId val="{00000011-61CB-4374-A5B8-05DBBC20BAF7}"/>
            </c:ext>
          </c:extLst>
        </c:ser>
        <c:ser>
          <c:idx val="7"/>
          <c:order val="7"/>
          <c:tx>
            <c:strRef>
              <c:f>'NVL72 BoM Comparison'!$B$28</c:f>
              <c:strCache>
                <c:ptCount val="1"/>
                <c:pt idx="0">
                  <c:v>PCB</c:v>
                </c:pt>
              </c:strCache>
            </c:strRef>
          </c:tx>
          <c:invertIfNegative val="0"/>
          <c:dLbls>
            <c:dLbl>
              <c:idx val="0"/>
              <c:layout>
                <c:manualLayout>
                  <c:x val="9.7974559450756948E-2"/>
                  <c:y val="2.0629200356966386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61CB-4374-A5B8-05DBBC20BAF7}"/>
                </c:ext>
              </c:extLst>
            </c:dLbl>
            <c:dLbl>
              <c:idx val="1"/>
              <c:layout>
                <c:manualLayout>
                  <c:x val="0.10136085845069923"/>
                  <c:y val="2.0629200356966386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3-61CB-4374-A5B8-05DBBC20BAF7}"/>
                </c:ext>
              </c:extLst>
            </c:dLbl>
            <c:dLbl>
              <c:idx val="2"/>
              <c:layout>
                <c:manualLayout>
                  <c:x val="0.10136085845069923"/>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61CB-4374-A5B8-05DBBC20BAF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Comparison'!$C$28:$E$28</c:f>
              <c:numCache>
                <c:formatCode>0%</c:formatCode>
                <c:ptCount val="3"/>
                <c:pt idx="0">
                  <c:v>1.0271742656204574E-2</c:v>
                </c:pt>
                <c:pt idx="1">
                  <c:v>8.7869703432491026E-3</c:v>
                </c:pt>
                <c:pt idx="2">
                  <c:v>1.4959347815323926E-2</c:v>
                </c:pt>
              </c:numCache>
            </c:numRef>
          </c:val>
          <c:extLst>
            <c:ext xmlns:c16="http://schemas.microsoft.com/office/drawing/2014/chart" uri="{C3380CC4-5D6E-409C-BE32-E72D297353CC}">
              <c16:uniqueId val="{00000015-61CB-4374-A5B8-05DBBC20BAF7}"/>
            </c:ext>
          </c:extLst>
        </c:ser>
        <c:ser>
          <c:idx val="8"/>
          <c:order val="8"/>
          <c:tx>
            <c:strRef>
              <c:f>'NVL72 BoM Comparison'!$B$29</c:f>
              <c:strCache>
                <c:ptCount val="1"/>
                <c:pt idx="0">
                  <c:v>ABF Substrate</c:v>
                </c:pt>
              </c:strCache>
            </c:strRef>
          </c:tx>
          <c:invertIfNegative val="0"/>
          <c:dLbls>
            <c:dLbl>
              <c:idx val="0"/>
              <c:layout>
                <c:manualLayout>
                  <c:x val="0.11555973678807226"/>
                  <c:y val="-1.4440440249876469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61CB-4374-A5B8-05DBBC20BAF7}"/>
                </c:ext>
              </c:extLst>
            </c:dLbl>
            <c:dLbl>
              <c:idx val="1"/>
              <c:layout>
                <c:manualLayout>
                  <c:x val="0.12388549366196573"/>
                  <c:y val="-2.269212039266302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7-61CB-4374-A5B8-05DBBC20BAF7}"/>
                </c:ext>
              </c:extLst>
            </c:dLbl>
            <c:dLbl>
              <c:idx val="2"/>
              <c:layout>
                <c:manualLayout>
                  <c:x val="0.12263412503911758"/>
                  <c:y val="-2.062920035696640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61CB-4374-A5B8-05DBBC20BAF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Comparison'!$C$29:$E$29</c:f>
              <c:numCache>
                <c:formatCode>0%</c:formatCode>
                <c:ptCount val="3"/>
                <c:pt idx="0">
                  <c:v>3.3518318141299137E-3</c:v>
                </c:pt>
                <c:pt idx="1">
                  <c:v>2.7938059552894581E-3</c:v>
                </c:pt>
                <c:pt idx="2">
                  <c:v>2.6066404057542079E-3</c:v>
                </c:pt>
              </c:numCache>
            </c:numRef>
          </c:val>
          <c:extLst>
            <c:ext xmlns:c16="http://schemas.microsoft.com/office/drawing/2014/chart" uri="{C3380CC4-5D6E-409C-BE32-E72D297353CC}">
              <c16:uniqueId val="{00000019-61CB-4374-A5B8-05DBBC20BAF7}"/>
            </c:ext>
          </c:extLst>
        </c:ser>
        <c:ser>
          <c:idx val="9"/>
          <c:order val="9"/>
          <c:tx>
            <c:strRef>
              <c:f>'NVL72 BoM Comparison'!$B$30</c:f>
              <c:strCache>
                <c:ptCount val="1"/>
                <c:pt idx="0">
                  <c:v>MLCC</c:v>
                </c:pt>
              </c:strCache>
            </c:strRef>
          </c:tx>
          <c:invertIfNegative val="0"/>
          <c:dLbls>
            <c:dLbl>
              <c:idx val="0"/>
              <c:layout>
                <c:manualLayout>
                  <c:x val="9.9230643546279432E-2"/>
                  <c:y val="-3.506964060684287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A-61CB-4374-A5B8-05DBBC20BAF7}"/>
                </c:ext>
              </c:extLst>
            </c:dLbl>
            <c:dLbl>
              <c:idx val="1"/>
              <c:layout>
                <c:manualLayout>
                  <c:x val="0.11012514553761783"/>
                  <c:y val="-5.569884096380923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B-61CB-4374-A5B8-05DBBC20BAF7}"/>
                </c:ext>
              </c:extLst>
            </c:dLbl>
            <c:dLbl>
              <c:idx val="2"/>
              <c:layout>
                <c:manualLayout>
                  <c:x val="0.10886907018778806"/>
                  <c:y val="-5.3635920928112618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C-61CB-4374-A5B8-05DBBC20BAF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Comparison'!$C$30:$E$30</c:f>
              <c:numCache>
                <c:formatCode>0%</c:formatCode>
                <c:ptCount val="3"/>
                <c:pt idx="0">
                  <c:v>5.1358713281022866E-4</c:v>
                </c:pt>
                <c:pt idx="1">
                  <c:v>3.830217841929096E-4</c:v>
                </c:pt>
                <c:pt idx="2">
                  <c:v>5.5362274104514152E-4</c:v>
                </c:pt>
              </c:numCache>
            </c:numRef>
          </c:val>
          <c:extLst>
            <c:ext xmlns:c16="http://schemas.microsoft.com/office/drawing/2014/chart" uri="{C3380CC4-5D6E-409C-BE32-E72D297353CC}">
              <c16:uniqueId val="{0000001D-61CB-4374-A5B8-05DBBC20BAF7}"/>
            </c:ext>
          </c:extLst>
        </c:ser>
        <c:ser>
          <c:idx val="10"/>
          <c:order val="10"/>
          <c:tx>
            <c:strRef>
              <c:f>'NVL72 BoM Comparison'!$B$31</c:f>
              <c:strCache>
                <c:ptCount val="1"/>
              </c:strCache>
            </c:strRef>
          </c:tx>
          <c:invertIfNegative val="0"/>
          <c:dLbls>
            <c:dLbl>
              <c:idx val="1"/>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1"/>
              <c:showPercent val="0"/>
              <c:showBubbleSize val="0"/>
              <c:extLst>
                <c:ext xmlns:c16="http://schemas.microsoft.com/office/drawing/2014/chart" uri="{C3380CC4-5D6E-409C-BE32-E72D297353CC}">
                  <c16:uniqueId val="{0000001E-61CB-4374-A5B8-05DBBC20BAF7}"/>
                </c:ext>
              </c:extLst>
            </c:dLbl>
            <c:dLbl>
              <c:idx val="2"/>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1"/>
              <c:showPercent val="0"/>
              <c:showBubbleSize val="0"/>
              <c:extLst>
                <c:ext xmlns:c16="http://schemas.microsoft.com/office/drawing/2014/chart" uri="{C3380CC4-5D6E-409C-BE32-E72D297353CC}">
                  <c16:uniqueId val="{0000001F-61CB-4374-A5B8-05DBBC20BAF7}"/>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Comparison'!$C$31:$E$31</c:f>
              <c:numCache>
                <c:formatCode>0%</c:formatCode>
                <c:ptCount val="3"/>
              </c:numCache>
            </c:numRef>
          </c:val>
          <c:extLst>
            <c:ext xmlns:c16="http://schemas.microsoft.com/office/drawing/2014/chart" uri="{C3380CC4-5D6E-409C-BE32-E72D297353CC}">
              <c16:uniqueId val="{00000020-61CB-4374-A5B8-05DBBC20BAF7}"/>
            </c:ext>
          </c:extLst>
        </c:ser>
        <c:ser>
          <c:idx val="11"/>
          <c:order val="11"/>
          <c:tx>
            <c:strRef>
              <c:f>'NVL72 BoM Comparison'!$B$32</c:f>
              <c:strCache>
                <c:ptCount val="1"/>
                <c:pt idx="0">
                  <c:v>Others</c:v>
                </c:pt>
              </c:strCache>
            </c:strRef>
          </c:tx>
          <c:spPr>
            <a:solidFill>
              <a:srgbClr val="2673B2"/>
            </a:solidFill>
            <a:ln w="25400">
              <a:noFill/>
            </a:ln>
          </c:spPr>
          <c:invertIfNegative val="0"/>
          <c:dLbls>
            <c:dLbl>
              <c:idx val="1"/>
              <c:layout>
                <c:manualLayout>
                  <c:x val="-1.0907598940888893E-4"/>
                  <c:y val="-2.262406027494990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1-61CB-4374-A5B8-05DBBC20BAF7}"/>
                </c:ext>
              </c:extLst>
            </c:dLbl>
            <c:dLbl>
              <c:idx val="2"/>
              <c:layout>
                <c:manualLayout>
                  <c:x val="0"/>
                  <c:y val="-1.23775202141798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2-61CB-4374-A5B8-05DBBC20BAF7}"/>
                </c:ext>
              </c:extLst>
            </c:dLbl>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Comparison'!$C$32:$E$32</c:f>
              <c:numCache>
                <c:formatCode>0%</c:formatCode>
                <c:ptCount val="3"/>
                <c:pt idx="0">
                  <c:v>0.10970661660410176</c:v>
                </c:pt>
                <c:pt idx="1">
                  <c:v>0.10074015329850262</c:v>
                </c:pt>
                <c:pt idx="2">
                  <c:v>7.7568398359585095E-2</c:v>
                </c:pt>
              </c:numCache>
            </c:numRef>
          </c:val>
          <c:extLst>
            <c:ext xmlns:c16="http://schemas.microsoft.com/office/drawing/2014/chart" uri="{C3380CC4-5D6E-409C-BE32-E72D297353CC}">
              <c16:uniqueId val="{00000023-61CB-4374-A5B8-05DBBC20BAF7}"/>
            </c:ext>
          </c:extLst>
        </c:ser>
        <c:ser>
          <c:idx val="12"/>
          <c:order val="12"/>
          <c:tx>
            <c:strRef>
              <c:f>'NVL72 BoM Comparison'!$B$33</c:f>
              <c:strCache>
                <c:ptCount val="1"/>
                <c:pt idx="0">
                  <c:v>Rack assembly value add</c:v>
                </c:pt>
              </c:strCache>
            </c:strRef>
          </c:tx>
          <c:invertIfNegative val="0"/>
          <c:dLbls>
            <c:spPr>
              <a:noFill/>
              <a:ln>
                <a:noFill/>
              </a:ln>
              <a:effectLst/>
            </c:spPr>
            <c:dLblPos val="inBase"/>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cat>
            <c:strRef>
              <c:f>'NVL72 BoM Comparison'!$C$20:$E$20</c:f>
              <c:strCache>
                <c:ptCount val="3"/>
                <c:pt idx="0">
                  <c:v>GB200</c:v>
                </c:pt>
                <c:pt idx="1">
                  <c:v>GB300</c:v>
                </c:pt>
                <c:pt idx="2">
                  <c:v>VR200</c:v>
                </c:pt>
              </c:strCache>
            </c:strRef>
          </c:cat>
          <c:val>
            <c:numRef>
              <c:f>'NVL72 BoM Comparison'!$C$33:$E$33</c:f>
              <c:numCache>
                <c:formatCode>0%</c:formatCode>
                <c:ptCount val="3"/>
                <c:pt idx="0">
                  <c:v>7.6887898245274E-3</c:v>
                </c:pt>
                <c:pt idx="1">
                  <c:v>5.6076391934125327E-3</c:v>
                </c:pt>
                <c:pt idx="2">
                  <c:v>3.6908182736342765E-3</c:v>
                </c:pt>
              </c:numCache>
            </c:numRef>
          </c:val>
          <c:extLst>
            <c:ext xmlns:c16="http://schemas.microsoft.com/office/drawing/2014/chart" uri="{C3380CC4-5D6E-409C-BE32-E72D297353CC}">
              <c16:uniqueId val="{00000024-61CB-4374-A5B8-05DBBC20BAF7}"/>
            </c:ext>
          </c:extLst>
        </c:ser>
        <c:dLbls>
          <c:showLegendKey val="0"/>
          <c:showVal val="0"/>
          <c:showCatName val="0"/>
          <c:showSerName val="0"/>
          <c:showPercent val="0"/>
          <c:showBubbleSize val="0"/>
        </c:dLbls>
        <c:gapWidth val="150"/>
        <c:overlap val="100"/>
        <c:axId val="96813440"/>
        <c:axId val="96814976"/>
      </c:barChart>
      <c:catAx>
        <c:axId val="96813440"/>
        <c:scaling>
          <c:orientation val="minMax"/>
        </c:scaling>
        <c:delete val="0"/>
        <c:axPos val="b"/>
        <c:numFmt formatCode="General" sourceLinked="0"/>
        <c:majorTickMark val="none"/>
        <c:minorTickMark val="none"/>
        <c:tickLblPos val="nextTo"/>
        <c:spPr>
          <a:ln w="15875" cap="rnd" cmpd="sng" algn="ctr">
            <a:solidFill>
              <a:srgbClr val="808080"/>
            </a:solidFill>
            <a:prstDash val="solid"/>
            <a:round/>
            <a:headEnd type="none" w="med" len="med"/>
            <a:tailEnd type="none" w="med" len="med"/>
          </a:ln>
        </c:spPr>
        <c:crossAx val="96814976"/>
        <c:crosses val="autoZero"/>
        <c:auto val="1"/>
        <c:lblAlgn val="ctr"/>
        <c:lblOffset val="100"/>
        <c:noMultiLvlLbl val="0"/>
      </c:catAx>
      <c:valAx>
        <c:axId val="96814976"/>
        <c:scaling>
          <c:orientation val="minMax"/>
        </c:scaling>
        <c:delete val="1"/>
        <c:axPos val="l"/>
        <c:numFmt formatCode="0%" sourceLinked="1"/>
        <c:majorTickMark val="out"/>
        <c:minorTickMark val="none"/>
        <c:tickLblPos val="nextTo"/>
        <c:crossAx val="96813440"/>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rgbClr val="000000"/>
                </a:solidFill>
                <a:latin typeface="Roboto Condensed" panose="02000000000000000000" pitchFamily="2" charset="0"/>
              </a:defRPr>
            </a:pPr>
            <a:r>
              <a:rPr lang="en-US" sz="1100" b="1">
                <a:solidFill>
                  <a:srgbClr val="000000"/>
                </a:solidFill>
                <a:latin typeface="Roboto Condensed" panose="02000000000000000000" pitchFamily="2" charset="0"/>
              </a:rPr>
              <a:t>Nvidia NVL72 Rack ASP (US$)</a:t>
            </a:r>
          </a:p>
        </c:rich>
      </c:tx>
      <c:layout>
        <c:manualLayout>
          <c:xMode val="edge"/>
          <c:yMode val="edge"/>
          <c:x val="1.4304461942257281E-3"/>
          <c:y val="0"/>
        </c:manualLayout>
      </c:layout>
      <c:overlay val="0"/>
    </c:title>
    <c:autoTitleDeleted val="0"/>
    <c:plotArea>
      <c:layout>
        <c:manualLayout>
          <c:xMode val="edge"/>
          <c:yMode val="edge"/>
          <c:x val="1.7094017094017096E-2"/>
          <c:y val="8.0337552742616031E-2"/>
          <c:w val="0.98290598290598286"/>
          <c:h val="0.85400843881856536"/>
        </c:manualLayout>
      </c:layout>
      <c:barChart>
        <c:barDir val="col"/>
        <c:grouping val="clustered"/>
        <c:varyColors val="0"/>
        <c:ser>
          <c:idx val="0"/>
          <c:order val="0"/>
          <c:tx>
            <c:strRef>
              <c:f>'NVL72 BoM Comparison'!$B$17</c:f>
              <c:strCache>
                <c:ptCount val="1"/>
                <c:pt idx="0">
                  <c:v>Total</c:v>
                </c:pt>
              </c:strCache>
            </c:strRef>
          </c:tx>
          <c:spPr>
            <a:solidFill>
              <a:srgbClr val="005AA4"/>
            </a:solidFill>
          </c:spPr>
          <c:invertIfNegative val="0"/>
          <c:dLbls>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'NVL72 BoM Comparison'!$C$4:$E$4</c:f>
              <c:strCache>
                <c:ptCount val="3"/>
                <c:pt idx="0">
                  <c:v>GB200</c:v>
                </c:pt>
                <c:pt idx="1">
                  <c:v>GB300</c:v>
                </c:pt>
                <c:pt idx="2">
                  <c:v>VR200</c:v>
                </c:pt>
              </c:strCache>
            </c:strRef>
          </c:cat>
          <c:val>
            <c:numRef>
              <c:f>'NVL72 BoM Comparison'!$C$17:$E$17</c:f>
              <c:numCache>
                <c:formatCode>"$"#,##0_);[Red]\("$"#,##0\)</c:formatCode>
                <c:ptCount val="3"/>
                <c:pt idx="0">
                  <c:v>3329522.6666666665</c:v>
                </c:pt>
                <c:pt idx="1">
                  <c:v>3994550.8666666667</c:v>
                </c:pt>
                <c:pt idx="2">
                  <c:v>7803147.666666667</c:v>
                </c:pt>
              </c:numCache>
            </c:numRef>
          </c:val>
          <c:extLst>
            <c:ext xmlns:c16="http://schemas.microsoft.com/office/drawing/2014/chart" uri="{C3380CC4-5D6E-409C-BE32-E72D297353CC}">
              <c16:uniqueId val="{00000000-6C75-42A8-AE6D-974A8357A9C2}"/>
            </c:ext>
          </c:extLst>
        </c:ser>
        <c:dLbls>
          <c:showLegendKey val="0"/>
          <c:showVal val="0"/>
          <c:showCatName val="0"/>
          <c:showSerName val="0"/>
          <c:showPercent val="0"/>
          <c:showBubbleSize val="0"/>
        </c:dLbls>
        <c:gapWidth val="150"/>
        <c:axId val="233332096"/>
        <c:axId val="253618432"/>
      </c:barChart>
      <c:catAx>
        <c:axId val="233332096"/>
        <c:scaling>
          <c:orientation val="minMax"/>
        </c:scaling>
        <c:delete val="0"/>
        <c:axPos val="b"/>
        <c:numFmt formatCode="General" sourceLinked="0"/>
        <c:majorTickMark val="none"/>
        <c:minorTickMark val="none"/>
        <c:tickLblPos val="nextTo"/>
        <c:spPr>
          <a:ln w="15875">
            <a:solidFill>
              <a:srgbClr val="808080"/>
            </a:solidFill>
          </a:ln>
        </c:spPr>
        <c:crossAx val="253618432"/>
        <c:crosses val="autoZero"/>
        <c:auto val="1"/>
        <c:lblAlgn val="ctr"/>
        <c:lblOffset val="100"/>
        <c:noMultiLvlLbl val="0"/>
      </c:catAx>
      <c:valAx>
        <c:axId val="253618432"/>
        <c:scaling>
          <c:orientation val="minMax"/>
        </c:scaling>
        <c:delete val="1"/>
        <c:axPos val="l"/>
        <c:numFmt formatCode="&quot;$&quot;#,##0_);[Red]\(&quot;$&quot;#,##0\)" sourceLinked="1"/>
        <c:majorTickMark val="out"/>
        <c:minorTickMark val="none"/>
        <c:tickLblPos val="nextTo"/>
        <c:crossAx val="233332096"/>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1"/>
    <c:dispBlanksAs val="gap"/>
    <c:showDLblsOverMax val="0"/>
    <c:extLst/>
  </c:chart>
  <c:spPr>
    <a:solidFill>
      <a:srgbClr val="FFFFFF"/>
    </a:solidFill>
    <a:ln>
      <a:noFill/>
    </a:ln>
  </c:spPr>
  <c:txPr>
    <a:bodyPr/>
    <a:lstStyle/>
    <a:p>
      <a:pPr>
        <a:defRPr sz="900">
          <a:latin typeface="Roboto Condensed" panose="02000000000000000000" pitchFamily="2" charset="0"/>
          <a:ea typeface="Roboto Condensed" panose="02000000000000000000" pitchFamily="2" charset="0"/>
          <a:cs typeface="Arial" pitchFamily="34" charset="0"/>
        </a:defRPr>
      </a:pPr>
      <a:endParaRPr lang="en-U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xdr:row>
      <xdr:rowOff>19050</xdr:rowOff>
    </xdr:from>
    <xdr:to>
      <xdr:col>4</xdr:col>
      <xdr:colOff>152400</xdr:colOff>
      <xdr:row>2</xdr:row>
      <xdr:rowOff>0</xdr:rowOff>
    </xdr:to>
    <xdr:pic>
      <xdr:nvPicPr>
        <xdr:cNvPr id="2" name="Picture 1">
          <a:extLst>
            <a:ext uri="{FF2B5EF4-FFF2-40B4-BE49-F238E27FC236}">
              <a16:creationId xmlns:a16="http://schemas.microsoft.com/office/drawing/2014/main" id="{76B3BCC1-3F90-4EF7-8706-9CFAC1DBD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219075"/>
          <a:ext cx="15335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242887</xdr:colOff>
      <xdr:row>84</xdr:row>
      <xdr:rowOff>4762</xdr:rowOff>
    </xdr:from>
    <xdr:to>
      <xdr:col>37</xdr:col>
      <xdr:colOff>14287</xdr:colOff>
      <xdr:row>100</xdr:row>
      <xdr:rowOff>33337</xdr:rowOff>
    </xdr:to>
    <xdr:graphicFrame macro="">
      <xdr:nvGraphicFramePr>
        <xdr:cNvPr id="2" name="Chart 1">
          <a:extLst>
            <a:ext uri="{FF2B5EF4-FFF2-40B4-BE49-F238E27FC236}">
              <a16:creationId xmlns:a16="http://schemas.microsoft.com/office/drawing/2014/main" id="{C9DDDD5C-6526-49E3-B938-873A6EDA4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871537</xdr:colOff>
      <xdr:row>11</xdr:row>
      <xdr:rowOff>100012</xdr:rowOff>
    </xdr:from>
    <xdr:to>
      <xdr:col>17</xdr:col>
      <xdr:colOff>347662</xdr:colOff>
      <xdr:row>30</xdr:row>
      <xdr:rowOff>14287</xdr:rowOff>
    </xdr:to>
    <xdr:graphicFrame macro="">
      <xdr:nvGraphicFramePr>
        <xdr:cNvPr id="3" name="Chart 2">
          <a:extLst>
            <a:ext uri="{FF2B5EF4-FFF2-40B4-BE49-F238E27FC236}">
              <a16:creationId xmlns:a16="http://schemas.microsoft.com/office/drawing/2014/main" id="{22317E61-B9BF-45D3-9ED8-80892BF83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495300</xdr:colOff>
      <xdr:row>125</xdr:row>
      <xdr:rowOff>85725</xdr:rowOff>
    </xdr:from>
    <xdr:to>
      <xdr:col>36</xdr:col>
      <xdr:colOff>161925</xdr:colOff>
      <xdr:row>140</xdr:row>
      <xdr:rowOff>114300</xdr:rowOff>
    </xdr:to>
    <xdr:graphicFrame macro="">
      <xdr:nvGraphicFramePr>
        <xdr:cNvPr id="4" name="Chart 3">
          <a:extLst>
            <a:ext uri="{FF2B5EF4-FFF2-40B4-BE49-F238E27FC236}">
              <a16:creationId xmlns:a16="http://schemas.microsoft.com/office/drawing/2014/main" id="{ECB1AB03-35BC-4872-B84C-03DF9D49A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37</xdr:col>
      <xdr:colOff>38100</xdr:colOff>
      <xdr:row>83</xdr:row>
      <xdr:rowOff>47625</xdr:rowOff>
    </xdr:from>
    <xdr:to>
      <xdr:col>45</xdr:col>
      <xdr:colOff>342900</xdr:colOff>
      <xdr:row>99</xdr:row>
      <xdr:rowOff>28575</xdr:rowOff>
    </xdr:to>
    <xdr:graphicFrame macro="">
      <xdr:nvGraphicFramePr>
        <xdr:cNvPr id="5" name="Chart 4">
          <a:extLst>
            <a:ext uri="{FF2B5EF4-FFF2-40B4-BE49-F238E27FC236}">
              <a16:creationId xmlns:a16="http://schemas.microsoft.com/office/drawing/2014/main" id="{B417317D-D2AD-4973-8389-0D2FE345A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36</xdr:col>
      <xdr:colOff>419100</xdr:colOff>
      <xdr:row>125</xdr:row>
      <xdr:rowOff>133350</xdr:rowOff>
    </xdr:from>
    <xdr:to>
      <xdr:col>45</xdr:col>
      <xdr:colOff>190500</xdr:colOff>
      <xdr:row>141</xdr:row>
      <xdr:rowOff>19050</xdr:rowOff>
    </xdr:to>
    <xdr:graphicFrame macro="">
      <xdr:nvGraphicFramePr>
        <xdr:cNvPr id="6" name="Chart 5">
          <a:extLst>
            <a:ext uri="{FF2B5EF4-FFF2-40B4-BE49-F238E27FC236}">
              <a16:creationId xmlns:a16="http://schemas.microsoft.com/office/drawing/2014/main" id="{A10B5449-313C-4D9A-BD9E-101DE0554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847725</xdr:colOff>
      <xdr:row>37</xdr:row>
      <xdr:rowOff>47625</xdr:rowOff>
    </xdr:from>
    <xdr:to>
      <xdr:col>17</xdr:col>
      <xdr:colOff>323850</xdr:colOff>
      <xdr:row>56</xdr:row>
      <xdr:rowOff>57150</xdr:rowOff>
    </xdr:to>
    <xdr:graphicFrame macro="">
      <xdr:nvGraphicFramePr>
        <xdr:cNvPr id="7" name="Chart 6">
          <a:extLst>
            <a:ext uri="{FF2B5EF4-FFF2-40B4-BE49-F238E27FC236}">
              <a16:creationId xmlns:a16="http://schemas.microsoft.com/office/drawing/2014/main" id="{303B8AE6-FBD3-4605-9C6E-ABA528B1B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352425</xdr:colOff>
      <xdr:row>7</xdr:row>
      <xdr:rowOff>109537</xdr:rowOff>
    </xdr:from>
    <xdr:to>
      <xdr:col>39</xdr:col>
      <xdr:colOff>123825</xdr:colOff>
      <xdr:row>25</xdr:row>
      <xdr:rowOff>128587</xdr:rowOff>
    </xdr:to>
    <xdr:graphicFrame macro="">
      <xdr:nvGraphicFramePr>
        <xdr:cNvPr id="8" name="Chart 7">
          <a:extLst>
            <a:ext uri="{FF2B5EF4-FFF2-40B4-BE49-F238E27FC236}">
              <a16:creationId xmlns:a16="http://schemas.microsoft.com/office/drawing/2014/main" id="{CE9A17FC-DC63-4549-B87C-F904F6378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30</xdr:col>
      <xdr:colOff>400050</xdr:colOff>
      <xdr:row>31</xdr:row>
      <xdr:rowOff>123825</xdr:rowOff>
    </xdr:from>
    <xdr:to>
      <xdr:col>39</xdr:col>
      <xdr:colOff>171450</xdr:colOff>
      <xdr:row>50</xdr:row>
      <xdr:rowOff>125730</xdr:rowOff>
    </xdr:to>
    <xdr:graphicFrame macro="">
      <xdr:nvGraphicFramePr>
        <xdr:cNvPr id="9" name="Chart 8">
          <a:extLst>
            <a:ext uri="{FF2B5EF4-FFF2-40B4-BE49-F238E27FC236}">
              <a16:creationId xmlns:a16="http://schemas.microsoft.com/office/drawing/2014/main" id="{7447BFDF-92BC-46DE-89DF-DCEB5BC49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419100</xdr:colOff>
      <xdr:row>45</xdr:row>
      <xdr:rowOff>114300</xdr:rowOff>
    </xdr:from>
    <xdr:to>
      <xdr:col>28</xdr:col>
      <xdr:colOff>409575</xdr:colOff>
      <xdr:row>64</xdr:row>
      <xdr:rowOff>104775</xdr:rowOff>
    </xdr:to>
    <xdr:graphicFrame macro="">
      <xdr:nvGraphicFramePr>
        <xdr:cNvPr id="10" name="Chart 9">
          <a:extLst>
            <a:ext uri="{FF2B5EF4-FFF2-40B4-BE49-F238E27FC236}">
              <a16:creationId xmlns:a16="http://schemas.microsoft.com/office/drawing/2014/main" id="{BA5C6AB9-3531-4AE8-96E4-8783EF007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36</xdr:col>
      <xdr:colOff>390525</xdr:colOff>
      <xdr:row>178</xdr:row>
      <xdr:rowOff>38100</xdr:rowOff>
    </xdr:from>
    <xdr:to>
      <xdr:col>45</xdr:col>
      <xdr:colOff>161925</xdr:colOff>
      <xdr:row>193</xdr:row>
      <xdr:rowOff>85725</xdr:rowOff>
    </xdr:to>
    <xdr:graphicFrame macro="">
      <xdr:nvGraphicFramePr>
        <xdr:cNvPr id="11" name="Chart 10">
          <a:extLst>
            <a:ext uri="{FF2B5EF4-FFF2-40B4-BE49-F238E27FC236}">
              <a16:creationId xmlns:a16="http://schemas.microsoft.com/office/drawing/2014/main" id="{DC38FB49-7901-43EF-BA07-70BA35240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27</xdr:col>
      <xdr:colOff>438150</xdr:colOff>
      <xdr:row>177</xdr:row>
      <xdr:rowOff>133350</xdr:rowOff>
    </xdr:from>
    <xdr:to>
      <xdr:col>36</xdr:col>
      <xdr:colOff>104775</xdr:colOff>
      <xdr:row>192</xdr:row>
      <xdr:rowOff>173355</xdr:rowOff>
    </xdr:to>
    <xdr:graphicFrame macro="">
      <xdr:nvGraphicFramePr>
        <xdr:cNvPr id="12" name="Chart 11">
          <a:extLst>
            <a:ext uri="{FF2B5EF4-FFF2-40B4-BE49-F238E27FC236}">
              <a16:creationId xmlns:a16="http://schemas.microsoft.com/office/drawing/2014/main" id="{FE05FC66-85F8-4547-8C60-A37256B1E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48</xdr:col>
      <xdr:colOff>489859</xdr:colOff>
      <xdr:row>174</xdr:row>
      <xdr:rowOff>70077</xdr:rowOff>
    </xdr:from>
    <xdr:to>
      <xdr:col>49</xdr:col>
      <xdr:colOff>500064</xdr:colOff>
      <xdr:row>174</xdr:row>
      <xdr:rowOff>70077</xdr:rowOff>
    </xdr:to>
    <xdr:cxnSp macro="">
      <xdr:nvCxnSpPr>
        <xdr:cNvPr id="13" name="Straight Arrow Connector 12">
          <a:extLst>
            <a:ext uri="{FF2B5EF4-FFF2-40B4-BE49-F238E27FC236}">
              <a16:creationId xmlns:a16="http://schemas.microsoft.com/office/drawing/2014/main" id="{95C7EE22-888F-489F-B780-9082EBE888A4}"/>
            </a:ext>
          </a:extLst>
        </xdr:cNvPr>
        <xdr:cNvCxnSpPr/>
      </xdr:nvCxnSpPr>
      <xdr:spPr>
        <a:xfrm>
          <a:off x="29083909" y="24006402"/>
          <a:ext cx="857930"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363992</xdr:colOff>
      <xdr:row>175</xdr:row>
      <xdr:rowOff>76200</xdr:rowOff>
    </xdr:from>
    <xdr:to>
      <xdr:col>49</xdr:col>
      <xdr:colOff>496661</xdr:colOff>
      <xdr:row>175</xdr:row>
      <xdr:rowOff>76200</xdr:rowOff>
    </xdr:to>
    <xdr:cxnSp macro="">
      <xdr:nvCxnSpPr>
        <xdr:cNvPr id="14" name="Straight Arrow Connector 13">
          <a:extLst>
            <a:ext uri="{FF2B5EF4-FFF2-40B4-BE49-F238E27FC236}">
              <a16:creationId xmlns:a16="http://schemas.microsoft.com/office/drawing/2014/main" id="{4E44C9FB-10D3-41C9-94AB-7AB57ABBE674}"/>
            </a:ext>
          </a:extLst>
        </xdr:cNvPr>
        <xdr:cNvCxnSpPr/>
      </xdr:nvCxnSpPr>
      <xdr:spPr>
        <a:xfrm>
          <a:off x="28958042" y="24155400"/>
          <a:ext cx="980394"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366715</xdr:colOff>
      <xdr:row>176</xdr:row>
      <xdr:rowOff>78921</xdr:rowOff>
    </xdr:from>
    <xdr:to>
      <xdr:col>49</xdr:col>
      <xdr:colOff>499384</xdr:colOff>
      <xdr:row>176</xdr:row>
      <xdr:rowOff>78921</xdr:rowOff>
    </xdr:to>
    <xdr:cxnSp macro="">
      <xdr:nvCxnSpPr>
        <xdr:cNvPr id="15" name="Straight Arrow Connector 14">
          <a:extLst>
            <a:ext uri="{FF2B5EF4-FFF2-40B4-BE49-F238E27FC236}">
              <a16:creationId xmlns:a16="http://schemas.microsoft.com/office/drawing/2014/main" id="{DA04BF1E-72B0-49D1-B586-BF1BDE7E4471}"/>
            </a:ext>
          </a:extLst>
        </xdr:cNvPr>
        <xdr:cNvCxnSpPr/>
      </xdr:nvCxnSpPr>
      <xdr:spPr>
        <a:xfrm>
          <a:off x="28960765" y="24300996"/>
          <a:ext cx="980394"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418419</xdr:colOff>
      <xdr:row>177</xdr:row>
      <xdr:rowOff>78242</xdr:rowOff>
    </xdr:from>
    <xdr:to>
      <xdr:col>49</xdr:col>
      <xdr:colOff>500061</xdr:colOff>
      <xdr:row>177</xdr:row>
      <xdr:rowOff>78242</xdr:rowOff>
    </xdr:to>
    <xdr:cxnSp macro="">
      <xdr:nvCxnSpPr>
        <xdr:cNvPr id="16" name="Straight Arrow Connector 15">
          <a:extLst>
            <a:ext uri="{FF2B5EF4-FFF2-40B4-BE49-F238E27FC236}">
              <a16:creationId xmlns:a16="http://schemas.microsoft.com/office/drawing/2014/main" id="{7EF1814B-AF5A-4DFF-A342-6AE9E8704467}"/>
            </a:ext>
          </a:extLst>
        </xdr:cNvPr>
        <xdr:cNvCxnSpPr/>
      </xdr:nvCxnSpPr>
      <xdr:spPr>
        <a:xfrm>
          <a:off x="29012469" y="24443192"/>
          <a:ext cx="929367"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738188</xdr:colOff>
      <xdr:row>178</xdr:row>
      <xdr:rowOff>74839</xdr:rowOff>
    </xdr:from>
    <xdr:to>
      <xdr:col>49</xdr:col>
      <xdr:colOff>500061</xdr:colOff>
      <xdr:row>178</xdr:row>
      <xdr:rowOff>74839</xdr:rowOff>
    </xdr:to>
    <xdr:cxnSp macro="">
      <xdr:nvCxnSpPr>
        <xdr:cNvPr id="17" name="Straight Arrow Connector 16">
          <a:extLst>
            <a:ext uri="{FF2B5EF4-FFF2-40B4-BE49-F238E27FC236}">
              <a16:creationId xmlns:a16="http://schemas.microsoft.com/office/drawing/2014/main" id="{747E8E37-B777-43CD-A626-FBF4C09385AB}"/>
            </a:ext>
          </a:extLst>
        </xdr:cNvPr>
        <xdr:cNvCxnSpPr/>
      </xdr:nvCxnSpPr>
      <xdr:spPr>
        <a:xfrm>
          <a:off x="29332238" y="24582664"/>
          <a:ext cx="609598"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384402</xdr:colOff>
      <xdr:row>179</xdr:row>
      <xdr:rowOff>78241</xdr:rowOff>
    </xdr:from>
    <xdr:to>
      <xdr:col>49</xdr:col>
      <xdr:colOff>302759</xdr:colOff>
      <xdr:row>179</xdr:row>
      <xdr:rowOff>78241</xdr:rowOff>
    </xdr:to>
    <xdr:cxnSp macro="">
      <xdr:nvCxnSpPr>
        <xdr:cNvPr id="18" name="Straight Arrow Connector 17">
          <a:extLst>
            <a:ext uri="{FF2B5EF4-FFF2-40B4-BE49-F238E27FC236}">
              <a16:creationId xmlns:a16="http://schemas.microsoft.com/office/drawing/2014/main" id="{AAAD0ABA-8174-4E83-A565-C8FBB1AAE230}"/>
            </a:ext>
          </a:extLst>
        </xdr:cNvPr>
        <xdr:cNvCxnSpPr/>
      </xdr:nvCxnSpPr>
      <xdr:spPr>
        <a:xfrm>
          <a:off x="28978452" y="24728941"/>
          <a:ext cx="766082"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361950</xdr:colOff>
      <xdr:row>267</xdr:row>
      <xdr:rowOff>33337</xdr:rowOff>
    </xdr:from>
    <xdr:to>
      <xdr:col>7</xdr:col>
      <xdr:colOff>85725</xdr:colOff>
      <xdr:row>285</xdr:row>
      <xdr:rowOff>90487</xdr:rowOff>
    </xdr:to>
    <xdr:graphicFrame macro="">
      <xdr:nvGraphicFramePr>
        <xdr:cNvPr id="19" name="Chart 18">
          <a:extLst>
            <a:ext uri="{FF2B5EF4-FFF2-40B4-BE49-F238E27FC236}">
              <a16:creationId xmlns:a16="http://schemas.microsoft.com/office/drawing/2014/main" id="{0E24AAB8-FE68-4B0D-813A-7593301F7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18</xdr:col>
      <xdr:colOff>19050</xdr:colOff>
      <xdr:row>262</xdr:row>
      <xdr:rowOff>114300</xdr:rowOff>
    </xdr:from>
    <xdr:to>
      <xdr:col>25</xdr:col>
      <xdr:colOff>66675</xdr:colOff>
      <xdr:row>280</xdr:row>
      <xdr:rowOff>182880</xdr:rowOff>
    </xdr:to>
    <xdr:graphicFrame macro="">
      <xdr:nvGraphicFramePr>
        <xdr:cNvPr id="20" name="Chart 19">
          <a:extLst>
            <a:ext uri="{FF2B5EF4-FFF2-40B4-BE49-F238E27FC236}">
              <a16:creationId xmlns:a16="http://schemas.microsoft.com/office/drawing/2014/main" id="{F773303B-B304-40A7-A75F-84168A24C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37</xdr:col>
      <xdr:colOff>457200</xdr:colOff>
      <xdr:row>205</xdr:row>
      <xdr:rowOff>114300</xdr:rowOff>
    </xdr:from>
    <xdr:to>
      <xdr:col>46</xdr:col>
      <xdr:colOff>228600</xdr:colOff>
      <xdr:row>220</xdr:row>
      <xdr:rowOff>142875</xdr:rowOff>
    </xdr:to>
    <xdr:graphicFrame macro="">
      <xdr:nvGraphicFramePr>
        <xdr:cNvPr id="21" name="Chart 20">
          <a:extLst>
            <a:ext uri="{FF2B5EF4-FFF2-40B4-BE49-F238E27FC236}">
              <a16:creationId xmlns:a16="http://schemas.microsoft.com/office/drawing/2014/main" id="{15DB8B04-BA30-4A6A-9212-19A226C72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27</xdr:col>
      <xdr:colOff>234950</xdr:colOff>
      <xdr:row>204</xdr:row>
      <xdr:rowOff>133350</xdr:rowOff>
    </xdr:from>
    <xdr:to>
      <xdr:col>36</xdr:col>
      <xdr:colOff>266700</xdr:colOff>
      <xdr:row>221</xdr:row>
      <xdr:rowOff>0</xdr:rowOff>
    </xdr:to>
    <xdr:graphicFrame macro="">
      <xdr:nvGraphicFramePr>
        <xdr:cNvPr id="22" name="Chart 21">
          <a:extLst>
            <a:ext uri="{FF2B5EF4-FFF2-40B4-BE49-F238E27FC236}">
              <a16:creationId xmlns:a16="http://schemas.microsoft.com/office/drawing/2014/main" id="{0D6F8AC1-7ED7-427E-834E-830AF2B86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0.07292</cdr:y>
    </cdr:from>
    <cdr:to>
      <cdr:x>0.16979</cdr:x>
      <cdr:y>0.17535</cdr:y>
    </cdr:to>
    <cdr:sp macro="" textlink="">
      <cdr:nvSpPr>
        <cdr:cNvPr id="2" name="TextBox 1">
          <a:extLst xmlns:a="http://schemas.openxmlformats.org/drawingml/2006/main">
            <a:ext uri="{FF2B5EF4-FFF2-40B4-BE49-F238E27FC236}">
              <a16:creationId xmlns:a16="http://schemas.microsoft.com/office/drawing/2014/main" id="{773FED7D-CE4A-422C-A9AE-92097CFCE3C5}"/>
            </a:ext>
          </a:extLst>
        </cdr:cNvPr>
        <cdr:cNvSpPr txBox="1"/>
      </cdr:nvSpPr>
      <cdr:spPr>
        <a:xfrm xmlns:a="http://schemas.openxmlformats.org/drawingml/2006/main">
          <a:off x="0" y="200026"/>
          <a:ext cx="776288" cy="2809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t>k units</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0.07292</cdr:y>
    </cdr:from>
    <cdr:to>
      <cdr:x>0.16979</cdr:x>
      <cdr:y>0.17535</cdr:y>
    </cdr:to>
    <cdr:sp macro="" textlink="">
      <cdr:nvSpPr>
        <cdr:cNvPr id="2" name="TextBox 1">
          <a:extLst xmlns:a="http://schemas.openxmlformats.org/drawingml/2006/main">
            <a:ext uri="{FF2B5EF4-FFF2-40B4-BE49-F238E27FC236}">
              <a16:creationId xmlns:a16="http://schemas.microsoft.com/office/drawing/2014/main" id="{773FED7D-CE4A-422C-A9AE-92097CFCE3C5}"/>
            </a:ext>
          </a:extLst>
        </cdr:cNvPr>
        <cdr:cNvSpPr txBox="1"/>
      </cdr:nvSpPr>
      <cdr:spPr>
        <a:xfrm xmlns:a="http://schemas.openxmlformats.org/drawingml/2006/main">
          <a:off x="0" y="200026"/>
          <a:ext cx="776288" cy="2809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t>k units</a:t>
          </a:r>
        </a:p>
      </cdr:txBody>
    </cdr:sp>
  </cdr:relSizeAnchor>
</c:userShapes>
</file>

<file path=xl/drawings/drawing5.xml><?xml version="1.0" encoding="utf-8"?>
<xdr:wsDr xmlns:xdr="http://schemas.openxmlformats.org/drawingml/2006/spreadsheetDrawing" xmlns:a="http://schemas.openxmlformats.org/drawingml/2006/main">
  <xdr:oneCellAnchor>
    <xdr:from>
      <xdr:col>21</xdr:col>
      <xdr:colOff>433387</xdr:colOff>
      <xdr:row>81</xdr:row>
      <xdr:rowOff>4762</xdr:rowOff>
    </xdr:from>
    <xdr:ext cx="4539191" cy="2843741"/>
    <xdr:graphicFrame macro="">
      <xdr:nvGraphicFramePr>
        <xdr:cNvPr id="2" name="Chart 1">
          <a:extLst>
            <a:ext uri="{FF2B5EF4-FFF2-40B4-BE49-F238E27FC236}">
              <a16:creationId xmlns:a16="http://schemas.microsoft.com/office/drawing/2014/main" id="{A55E0AD1-C101-469D-9D74-226FA5123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392642</xdr:colOff>
      <xdr:row>79</xdr:row>
      <xdr:rowOff>48154</xdr:rowOff>
    </xdr:from>
    <xdr:ext cx="4539192" cy="2843742"/>
    <xdr:graphicFrame macro="">
      <xdr:nvGraphicFramePr>
        <xdr:cNvPr id="3" name="Chart 2">
          <a:extLst>
            <a:ext uri="{FF2B5EF4-FFF2-40B4-BE49-F238E27FC236}">
              <a16:creationId xmlns:a16="http://schemas.microsoft.com/office/drawing/2014/main" id="{B1B82015-9BAE-4819-9EBE-7F703A0D7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14</xdr:col>
      <xdr:colOff>104775</xdr:colOff>
      <xdr:row>12</xdr:row>
      <xdr:rowOff>100012</xdr:rowOff>
    </xdr:from>
    <xdr:ext cx="4533900" cy="2849033"/>
    <xdr:graphicFrame macro="">
      <xdr:nvGraphicFramePr>
        <xdr:cNvPr id="4" name="Chart 3">
          <a:extLst>
            <a:ext uri="{FF2B5EF4-FFF2-40B4-BE49-F238E27FC236}">
              <a16:creationId xmlns:a16="http://schemas.microsoft.com/office/drawing/2014/main" id="{33DD8641-0226-46F4-AAAB-D5BED2A6E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508000</xdr:colOff>
      <xdr:row>100</xdr:row>
      <xdr:rowOff>116417</xdr:rowOff>
    </xdr:from>
    <xdr:ext cx="4539192" cy="2843742"/>
    <xdr:graphicFrame macro="">
      <xdr:nvGraphicFramePr>
        <xdr:cNvPr id="5" name="Chart 4">
          <a:extLst>
            <a:ext uri="{FF2B5EF4-FFF2-40B4-BE49-F238E27FC236}">
              <a16:creationId xmlns:a16="http://schemas.microsoft.com/office/drawing/2014/main" id="{AB7E0BE4-FD02-4F9F-B20C-D12FD0E5E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editAs="oneCell">
    <xdr:from>
      <xdr:col>24</xdr:col>
      <xdr:colOff>9525</xdr:colOff>
      <xdr:row>13</xdr:row>
      <xdr:rowOff>0</xdr:rowOff>
    </xdr:from>
    <xdr:to>
      <xdr:col>31</xdr:col>
      <xdr:colOff>371475</xdr:colOff>
      <xdr:row>30</xdr:row>
      <xdr:rowOff>143933</xdr:rowOff>
    </xdr:to>
    <xdr:graphicFrame macro="">
      <xdr:nvGraphicFramePr>
        <xdr:cNvPr id="6" name="Chart 5">
          <a:extLst>
            <a:ext uri="{FF2B5EF4-FFF2-40B4-BE49-F238E27FC236}">
              <a16:creationId xmlns:a16="http://schemas.microsoft.com/office/drawing/2014/main" id="{3E609D84-134A-442A-89AB-D19ED7654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285750</xdr:colOff>
      <xdr:row>101</xdr:row>
      <xdr:rowOff>76200</xdr:rowOff>
    </xdr:from>
    <xdr:ext cx="4539192" cy="2843742"/>
    <xdr:graphicFrame macro="">
      <xdr:nvGraphicFramePr>
        <xdr:cNvPr id="7" name="Chart 6">
          <a:extLst>
            <a:ext uri="{FF2B5EF4-FFF2-40B4-BE49-F238E27FC236}">
              <a16:creationId xmlns:a16="http://schemas.microsoft.com/office/drawing/2014/main" id="{D0175F89-C662-4A78-8095-117013C28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21</xdr:col>
      <xdr:colOff>523875</xdr:colOff>
      <xdr:row>101</xdr:row>
      <xdr:rowOff>104775</xdr:rowOff>
    </xdr:from>
    <xdr:ext cx="4539191" cy="2843741"/>
    <xdr:graphicFrame macro="">
      <xdr:nvGraphicFramePr>
        <xdr:cNvPr id="8" name="Chart 7">
          <a:extLst>
            <a:ext uri="{FF2B5EF4-FFF2-40B4-BE49-F238E27FC236}">
              <a16:creationId xmlns:a16="http://schemas.microsoft.com/office/drawing/2014/main" id="{9F587D3E-85CF-4359-B590-2616EE810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twoCellAnchor editAs="oneCell">
    <xdr:from>
      <xdr:col>34</xdr:col>
      <xdr:colOff>0</xdr:colOff>
      <xdr:row>13</xdr:row>
      <xdr:rowOff>0</xdr:rowOff>
    </xdr:from>
    <xdr:to>
      <xdr:col>41</xdr:col>
      <xdr:colOff>361950</xdr:colOff>
      <xdr:row>30</xdr:row>
      <xdr:rowOff>143933</xdr:rowOff>
    </xdr:to>
    <xdr:graphicFrame macro="">
      <xdr:nvGraphicFramePr>
        <xdr:cNvPr id="9" name="Chart 8">
          <a:extLst>
            <a:ext uri="{FF2B5EF4-FFF2-40B4-BE49-F238E27FC236}">
              <a16:creationId xmlns:a16="http://schemas.microsoft.com/office/drawing/2014/main" id="{5FBC5966-FD28-4EE4-A3D8-103941AC7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43</xdr:col>
      <xdr:colOff>0</xdr:colOff>
      <xdr:row>13</xdr:row>
      <xdr:rowOff>42863</xdr:rowOff>
    </xdr:from>
    <xdr:to>
      <xdr:col>51</xdr:col>
      <xdr:colOff>266700</xdr:colOff>
      <xdr:row>31</xdr:row>
      <xdr:rowOff>2011</xdr:rowOff>
    </xdr:to>
    <xdr:graphicFrame macro="">
      <xdr:nvGraphicFramePr>
        <xdr:cNvPr id="10" name="Chart 9">
          <a:extLst>
            <a:ext uri="{FF2B5EF4-FFF2-40B4-BE49-F238E27FC236}">
              <a16:creationId xmlns:a16="http://schemas.microsoft.com/office/drawing/2014/main" id="{0E150302-271A-4F31-BBFA-3B546B99C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30</xdr:col>
      <xdr:colOff>361950</xdr:colOff>
      <xdr:row>80</xdr:row>
      <xdr:rowOff>104775</xdr:rowOff>
    </xdr:from>
    <xdr:ext cx="4539191" cy="2843741"/>
    <xdr:graphicFrame macro="">
      <xdr:nvGraphicFramePr>
        <xdr:cNvPr id="11" name="Chart 10">
          <a:extLst>
            <a:ext uri="{FF2B5EF4-FFF2-40B4-BE49-F238E27FC236}">
              <a16:creationId xmlns:a16="http://schemas.microsoft.com/office/drawing/2014/main" id="{0240146A-402E-473C-8B36-2988FB3F6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31</xdr:col>
      <xdr:colOff>123825</xdr:colOff>
      <xdr:row>103</xdr:row>
      <xdr:rowOff>104775</xdr:rowOff>
    </xdr:from>
    <xdr:ext cx="4539191" cy="2843741"/>
    <xdr:graphicFrame macro="">
      <xdr:nvGraphicFramePr>
        <xdr:cNvPr id="12" name="Chart 11">
          <a:extLst>
            <a:ext uri="{FF2B5EF4-FFF2-40B4-BE49-F238E27FC236}">
              <a16:creationId xmlns:a16="http://schemas.microsoft.com/office/drawing/2014/main" id="{BB67639E-DCCD-464C-82D7-0A9D6DBE4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7</xdr:col>
      <xdr:colOff>187642</xdr:colOff>
      <xdr:row>0</xdr:row>
      <xdr:rowOff>159067</xdr:rowOff>
    </xdr:from>
    <xdr:ext cx="10110788" cy="6156322"/>
    <xdr:graphicFrame macro="">
      <xdr:nvGraphicFramePr>
        <xdr:cNvPr id="2" name="Chart 1">
          <a:extLst>
            <a:ext uri="{FF2B5EF4-FFF2-40B4-BE49-F238E27FC236}">
              <a16:creationId xmlns:a16="http://schemas.microsoft.com/office/drawing/2014/main" id="{86C1ECDF-8B45-46EC-96D7-86A905DD2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27</xdr:col>
      <xdr:colOff>350520</xdr:colOff>
      <xdr:row>5</xdr:row>
      <xdr:rowOff>99060</xdr:rowOff>
    </xdr:from>
    <xdr:ext cx="4914900" cy="2863215"/>
    <xdr:graphicFrame macro="">
      <xdr:nvGraphicFramePr>
        <xdr:cNvPr id="3" name="Chart 2">
          <a:extLst>
            <a:ext uri="{FF2B5EF4-FFF2-40B4-BE49-F238E27FC236}">
              <a16:creationId xmlns:a16="http://schemas.microsoft.com/office/drawing/2014/main" id="{129B547F-C535-4ACD-9EA4-D128206E2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7.xml><?xml version="1.0" encoding="utf-8"?>
<xdr:wsDr xmlns:xdr="http://schemas.openxmlformats.org/drawingml/2006/spreadsheetDrawing" xmlns:a="http://schemas.openxmlformats.org/drawingml/2006/main">
  <xdr:twoCellAnchor>
    <xdr:from>
      <xdr:col>6</xdr:col>
      <xdr:colOff>47625</xdr:colOff>
      <xdr:row>18</xdr:row>
      <xdr:rowOff>114300</xdr:rowOff>
    </xdr:from>
    <xdr:to>
      <xdr:col>6</xdr:col>
      <xdr:colOff>447675</xdr:colOff>
      <xdr:row>19</xdr:row>
      <xdr:rowOff>85725</xdr:rowOff>
    </xdr:to>
    <xdr:cxnSp macro="">
      <xdr:nvCxnSpPr>
        <xdr:cNvPr id="2" name="Connector: Elbow 1">
          <a:extLst>
            <a:ext uri="{FF2B5EF4-FFF2-40B4-BE49-F238E27FC236}">
              <a16:creationId xmlns:a16="http://schemas.microsoft.com/office/drawing/2014/main" id="{8338A976-8BE4-4E5C-982F-AA24F9ACCA84}"/>
            </a:ext>
          </a:extLst>
        </xdr:cNvPr>
        <xdr:cNvCxnSpPr/>
      </xdr:nvCxnSpPr>
      <xdr:spPr>
        <a:xfrm>
          <a:off x="3248025" y="2686050"/>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57148</xdr:colOff>
      <xdr:row>4</xdr:row>
      <xdr:rowOff>123823</xdr:rowOff>
    </xdr:from>
    <xdr:to>
      <xdr:col>3</xdr:col>
      <xdr:colOff>447675</xdr:colOff>
      <xdr:row>17</xdr:row>
      <xdr:rowOff>95252</xdr:rowOff>
    </xdr:to>
    <xdr:cxnSp macro="">
      <xdr:nvCxnSpPr>
        <xdr:cNvPr id="3" name="Connector: Elbow 2">
          <a:extLst>
            <a:ext uri="{FF2B5EF4-FFF2-40B4-BE49-F238E27FC236}">
              <a16:creationId xmlns:a16="http://schemas.microsoft.com/office/drawing/2014/main" id="{AB6B2E18-3D4A-4E19-B989-F0FE43188C7F}"/>
            </a:ext>
          </a:extLst>
        </xdr:cNvPr>
        <xdr:cNvCxnSpPr/>
      </xdr:nvCxnSpPr>
      <xdr:spPr>
        <a:xfrm rot="16200000" flipH="1">
          <a:off x="938210" y="1414461"/>
          <a:ext cx="1828804" cy="390527"/>
        </a:xfrm>
        <a:prstGeom prst="bentConnector3">
          <a:avLst>
            <a:gd name="adj1" fmla="val 99807"/>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xdr:colOff>
      <xdr:row>2</xdr:row>
      <xdr:rowOff>95250</xdr:rowOff>
    </xdr:from>
    <xdr:to>
      <xdr:col>3</xdr:col>
      <xdr:colOff>409575</xdr:colOff>
      <xdr:row>3</xdr:row>
      <xdr:rowOff>104775</xdr:rowOff>
    </xdr:to>
    <xdr:cxnSp macro="">
      <xdr:nvCxnSpPr>
        <xdr:cNvPr id="4" name="Connector: Elbow 3">
          <a:extLst>
            <a:ext uri="{FF2B5EF4-FFF2-40B4-BE49-F238E27FC236}">
              <a16:creationId xmlns:a16="http://schemas.microsoft.com/office/drawing/2014/main" id="{BECFB97A-6276-4C60-9E1C-872A7808C240}"/>
            </a:ext>
          </a:extLst>
        </xdr:cNvPr>
        <xdr:cNvCxnSpPr/>
      </xdr:nvCxnSpPr>
      <xdr:spPr>
        <a:xfrm flipV="1">
          <a:off x="1647825" y="381000"/>
          <a:ext cx="361950" cy="1524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xdr:colOff>
      <xdr:row>2</xdr:row>
      <xdr:rowOff>114300</xdr:rowOff>
    </xdr:from>
    <xdr:to>
      <xdr:col>6</xdr:col>
      <xdr:colOff>457200</xdr:colOff>
      <xdr:row>3</xdr:row>
      <xdr:rowOff>85725</xdr:rowOff>
    </xdr:to>
    <xdr:cxnSp macro="">
      <xdr:nvCxnSpPr>
        <xdr:cNvPr id="5" name="Connector: Elbow 4">
          <a:extLst>
            <a:ext uri="{FF2B5EF4-FFF2-40B4-BE49-F238E27FC236}">
              <a16:creationId xmlns:a16="http://schemas.microsoft.com/office/drawing/2014/main" id="{EF434313-DA35-47D7-B3D2-E013F867A354}"/>
            </a:ext>
          </a:extLst>
        </xdr:cNvPr>
        <xdr:cNvCxnSpPr/>
      </xdr:nvCxnSpPr>
      <xdr:spPr>
        <a:xfrm>
          <a:off x="3257550" y="400050"/>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38100</xdr:colOff>
      <xdr:row>3</xdr:row>
      <xdr:rowOff>114300</xdr:rowOff>
    </xdr:from>
    <xdr:to>
      <xdr:col>9</xdr:col>
      <xdr:colOff>438150</xdr:colOff>
      <xdr:row>4</xdr:row>
      <xdr:rowOff>85725</xdr:rowOff>
    </xdr:to>
    <xdr:cxnSp macro="">
      <xdr:nvCxnSpPr>
        <xdr:cNvPr id="6" name="Connector: Elbow 5">
          <a:extLst>
            <a:ext uri="{FF2B5EF4-FFF2-40B4-BE49-F238E27FC236}">
              <a16:creationId xmlns:a16="http://schemas.microsoft.com/office/drawing/2014/main" id="{649494B3-AC86-4542-89EF-8730967B7902}"/>
            </a:ext>
          </a:extLst>
        </xdr:cNvPr>
        <xdr:cNvCxnSpPr/>
      </xdr:nvCxnSpPr>
      <xdr:spPr>
        <a:xfrm>
          <a:off x="4838700" y="542925"/>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19050</xdr:colOff>
      <xdr:row>20</xdr:row>
      <xdr:rowOff>114300</xdr:rowOff>
    </xdr:from>
    <xdr:to>
      <xdr:col>9</xdr:col>
      <xdr:colOff>419100</xdr:colOff>
      <xdr:row>21</xdr:row>
      <xdr:rowOff>85725</xdr:rowOff>
    </xdr:to>
    <xdr:cxnSp macro="">
      <xdr:nvCxnSpPr>
        <xdr:cNvPr id="7" name="Connector: Elbow 6">
          <a:extLst>
            <a:ext uri="{FF2B5EF4-FFF2-40B4-BE49-F238E27FC236}">
              <a16:creationId xmlns:a16="http://schemas.microsoft.com/office/drawing/2014/main" id="{48D4CCA0-7F5D-4D3B-8A16-AB7EDD042C4C}"/>
            </a:ext>
          </a:extLst>
        </xdr:cNvPr>
        <xdr:cNvCxnSpPr/>
      </xdr:nvCxnSpPr>
      <xdr:spPr>
        <a:xfrm>
          <a:off x="4819650" y="2971800"/>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47625</xdr:colOff>
      <xdr:row>17</xdr:row>
      <xdr:rowOff>114300</xdr:rowOff>
    </xdr:from>
    <xdr:to>
      <xdr:col>6</xdr:col>
      <xdr:colOff>447675</xdr:colOff>
      <xdr:row>18</xdr:row>
      <xdr:rowOff>85725</xdr:rowOff>
    </xdr:to>
    <xdr:cxnSp macro="">
      <xdr:nvCxnSpPr>
        <xdr:cNvPr id="2" name="Connector: Elbow 1">
          <a:extLst>
            <a:ext uri="{FF2B5EF4-FFF2-40B4-BE49-F238E27FC236}">
              <a16:creationId xmlns:a16="http://schemas.microsoft.com/office/drawing/2014/main" id="{6D6E4238-C582-4322-806D-7FC8B0012FA6}"/>
            </a:ext>
          </a:extLst>
        </xdr:cNvPr>
        <xdr:cNvCxnSpPr/>
      </xdr:nvCxnSpPr>
      <xdr:spPr>
        <a:xfrm>
          <a:off x="3248025" y="2543175"/>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57146</xdr:colOff>
      <xdr:row>4</xdr:row>
      <xdr:rowOff>123823</xdr:rowOff>
    </xdr:from>
    <xdr:to>
      <xdr:col>3</xdr:col>
      <xdr:colOff>419099</xdr:colOff>
      <xdr:row>17</xdr:row>
      <xdr:rowOff>66675</xdr:rowOff>
    </xdr:to>
    <xdr:cxnSp macro="">
      <xdr:nvCxnSpPr>
        <xdr:cNvPr id="3" name="Connector: Elbow 2">
          <a:extLst>
            <a:ext uri="{FF2B5EF4-FFF2-40B4-BE49-F238E27FC236}">
              <a16:creationId xmlns:a16="http://schemas.microsoft.com/office/drawing/2014/main" id="{DC2F4764-B215-4F1C-89DD-7EF2E09C7060}"/>
            </a:ext>
          </a:extLst>
        </xdr:cNvPr>
        <xdr:cNvCxnSpPr/>
      </xdr:nvCxnSpPr>
      <xdr:spPr>
        <a:xfrm rot="16200000" flipH="1">
          <a:off x="938209" y="1414460"/>
          <a:ext cx="1800227" cy="361953"/>
        </a:xfrm>
        <a:prstGeom prst="bentConnector3">
          <a:avLst>
            <a:gd name="adj1" fmla="val 10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xdr:colOff>
      <xdr:row>2</xdr:row>
      <xdr:rowOff>95250</xdr:rowOff>
    </xdr:from>
    <xdr:to>
      <xdr:col>3</xdr:col>
      <xdr:colOff>409575</xdr:colOff>
      <xdr:row>3</xdr:row>
      <xdr:rowOff>104775</xdr:rowOff>
    </xdr:to>
    <xdr:cxnSp macro="">
      <xdr:nvCxnSpPr>
        <xdr:cNvPr id="4" name="Connector: Elbow 3">
          <a:extLst>
            <a:ext uri="{FF2B5EF4-FFF2-40B4-BE49-F238E27FC236}">
              <a16:creationId xmlns:a16="http://schemas.microsoft.com/office/drawing/2014/main" id="{AF3DB50A-937A-4295-A125-DA0A54F96702}"/>
            </a:ext>
          </a:extLst>
        </xdr:cNvPr>
        <xdr:cNvCxnSpPr/>
      </xdr:nvCxnSpPr>
      <xdr:spPr>
        <a:xfrm flipV="1">
          <a:off x="1647825" y="381000"/>
          <a:ext cx="361950" cy="1524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xdr:colOff>
      <xdr:row>2</xdr:row>
      <xdr:rowOff>114300</xdr:rowOff>
    </xdr:from>
    <xdr:to>
      <xdr:col>6</xdr:col>
      <xdr:colOff>457200</xdr:colOff>
      <xdr:row>3</xdr:row>
      <xdr:rowOff>85725</xdr:rowOff>
    </xdr:to>
    <xdr:cxnSp macro="">
      <xdr:nvCxnSpPr>
        <xdr:cNvPr id="5" name="Connector: Elbow 4">
          <a:extLst>
            <a:ext uri="{FF2B5EF4-FFF2-40B4-BE49-F238E27FC236}">
              <a16:creationId xmlns:a16="http://schemas.microsoft.com/office/drawing/2014/main" id="{B34FC190-1DF2-4CA0-825D-6CC18D6FCCA4}"/>
            </a:ext>
          </a:extLst>
        </xdr:cNvPr>
        <xdr:cNvCxnSpPr/>
      </xdr:nvCxnSpPr>
      <xdr:spPr>
        <a:xfrm>
          <a:off x="3257550" y="400050"/>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47625</xdr:colOff>
      <xdr:row>3</xdr:row>
      <xdr:rowOff>114300</xdr:rowOff>
    </xdr:from>
    <xdr:to>
      <xdr:col>9</xdr:col>
      <xdr:colOff>447675</xdr:colOff>
      <xdr:row>4</xdr:row>
      <xdr:rowOff>85725</xdr:rowOff>
    </xdr:to>
    <xdr:cxnSp macro="">
      <xdr:nvCxnSpPr>
        <xdr:cNvPr id="6" name="Connector: Elbow 5">
          <a:extLst>
            <a:ext uri="{FF2B5EF4-FFF2-40B4-BE49-F238E27FC236}">
              <a16:creationId xmlns:a16="http://schemas.microsoft.com/office/drawing/2014/main" id="{C1B3BDA0-E268-42CA-BAEE-2A9E8D5B6963}"/>
            </a:ext>
          </a:extLst>
        </xdr:cNvPr>
        <xdr:cNvCxnSpPr/>
      </xdr:nvCxnSpPr>
      <xdr:spPr>
        <a:xfrm>
          <a:off x="4848225" y="542925"/>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57150</xdr:colOff>
      <xdr:row>18</xdr:row>
      <xdr:rowOff>114300</xdr:rowOff>
    </xdr:from>
    <xdr:to>
      <xdr:col>9</xdr:col>
      <xdr:colOff>457200</xdr:colOff>
      <xdr:row>19</xdr:row>
      <xdr:rowOff>85725</xdr:rowOff>
    </xdr:to>
    <xdr:cxnSp macro="">
      <xdr:nvCxnSpPr>
        <xdr:cNvPr id="7" name="Connector: Elbow 6">
          <a:extLst>
            <a:ext uri="{FF2B5EF4-FFF2-40B4-BE49-F238E27FC236}">
              <a16:creationId xmlns:a16="http://schemas.microsoft.com/office/drawing/2014/main" id="{973BDE0B-63A3-469B-B5DC-99870E31B735}"/>
            </a:ext>
          </a:extLst>
        </xdr:cNvPr>
        <xdr:cNvCxnSpPr/>
      </xdr:nvCxnSpPr>
      <xdr:spPr>
        <a:xfrm>
          <a:off x="4857750" y="2686050"/>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47625</xdr:colOff>
      <xdr:row>17</xdr:row>
      <xdr:rowOff>114300</xdr:rowOff>
    </xdr:from>
    <xdr:to>
      <xdr:col>6</xdr:col>
      <xdr:colOff>447675</xdr:colOff>
      <xdr:row>18</xdr:row>
      <xdr:rowOff>85725</xdr:rowOff>
    </xdr:to>
    <xdr:cxnSp macro="">
      <xdr:nvCxnSpPr>
        <xdr:cNvPr id="2" name="Connector: Elbow 1">
          <a:extLst>
            <a:ext uri="{FF2B5EF4-FFF2-40B4-BE49-F238E27FC236}">
              <a16:creationId xmlns:a16="http://schemas.microsoft.com/office/drawing/2014/main" id="{ACCF1A14-15F3-410B-B20D-59D991E0DBA7}"/>
            </a:ext>
          </a:extLst>
        </xdr:cNvPr>
        <xdr:cNvCxnSpPr/>
      </xdr:nvCxnSpPr>
      <xdr:spPr>
        <a:xfrm>
          <a:off x="3248025" y="2543175"/>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57146</xdr:colOff>
      <xdr:row>4</xdr:row>
      <xdr:rowOff>123824</xdr:rowOff>
    </xdr:from>
    <xdr:to>
      <xdr:col>3</xdr:col>
      <xdr:colOff>438150</xdr:colOff>
      <xdr:row>17</xdr:row>
      <xdr:rowOff>66678</xdr:rowOff>
    </xdr:to>
    <xdr:cxnSp macro="">
      <xdr:nvCxnSpPr>
        <xdr:cNvPr id="3" name="Connector: Elbow 2">
          <a:extLst>
            <a:ext uri="{FF2B5EF4-FFF2-40B4-BE49-F238E27FC236}">
              <a16:creationId xmlns:a16="http://schemas.microsoft.com/office/drawing/2014/main" id="{CE609067-FD05-4CE4-BBE2-4C3E70AA29B5}"/>
            </a:ext>
          </a:extLst>
        </xdr:cNvPr>
        <xdr:cNvCxnSpPr/>
      </xdr:nvCxnSpPr>
      <xdr:spPr>
        <a:xfrm rot="16200000" flipH="1">
          <a:off x="947733" y="1404937"/>
          <a:ext cx="1800229" cy="381004"/>
        </a:xfrm>
        <a:prstGeom prst="bentConnector3">
          <a:avLst>
            <a:gd name="adj1" fmla="val 100000"/>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xdr:colOff>
      <xdr:row>2</xdr:row>
      <xdr:rowOff>95250</xdr:rowOff>
    </xdr:from>
    <xdr:to>
      <xdr:col>3</xdr:col>
      <xdr:colOff>409575</xdr:colOff>
      <xdr:row>3</xdr:row>
      <xdr:rowOff>104775</xdr:rowOff>
    </xdr:to>
    <xdr:cxnSp macro="">
      <xdr:nvCxnSpPr>
        <xdr:cNvPr id="4" name="Connector: Elbow 3">
          <a:extLst>
            <a:ext uri="{FF2B5EF4-FFF2-40B4-BE49-F238E27FC236}">
              <a16:creationId xmlns:a16="http://schemas.microsoft.com/office/drawing/2014/main" id="{147A0749-6EF2-4F14-A466-7927FF086048}"/>
            </a:ext>
          </a:extLst>
        </xdr:cNvPr>
        <xdr:cNvCxnSpPr/>
      </xdr:nvCxnSpPr>
      <xdr:spPr>
        <a:xfrm flipV="1">
          <a:off x="1647825" y="381000"/>
          <a:ext cx="361950" cy="1524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xdr:colOff>
      <xdr:row>2</xdr:row>
      <xdr:rowOff>104775</xdr:rowOff>
    </xdr:from>
    <xdr:to>
      <xdr:col>6</xdr:col>
      <xdr:colOff>457200</xdr:colOff>
      <xdr:row>3</xdr:row>
      <xdr:rowOff>76200</xdr:rowOff>
    </xdr:to>
    <xdr:cxnSp macro="">
      <xdr:nvCxnSpPr>
        <xdr:cNvPr id="5" name="Connector: Elbow 4">
          <a:extLst>
            <a:ext uri="{FF2B5EF4-FFF2-40B4-BE49-F238E27FC236}">
              <a16:creationId xmlns:a16="http://schemas.microsoft.com/office/drawing/2014/main" id="{D00A9A21-EFB4-4907-876B-A431059ADDBA}"/>
            </a:ext>
          </a:extLst>
        </xdr:cNvPr>
        <xdr:cNvCxnSpPr/>
      </xdr:nvCxnSpPr>
      <xdr:spPr>
        <a:xfrm>
          <a:off x="3257550" y="390525"/>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57150</xdr:colOff>
      <xdr:row>3</xdr:row>
      <xdr:rowOff>123825</xdr:rowOff>
    </xdr:from>
    <xdr:to>
      <xdr:col>9</xdr:col>
      <xdr:colOff>457200</xdr:colOff>
      <xdr:row>4</xdr:row>
      <xdr:rowOff>95250</xdr:rowOff>
    </xdr:to>
    <xdr:cxnSp macro="">
      <xdr:nvCxnSpPr>
        <xdr:cNvPr id="6" name="Connector: Elbow 5">
          <a:extLst>
            <a:ext uri="{FF2B5EF4-FFF2-40B4-BE49-F238E27FC236}">
              <a16:creationId xmlns:a16="http://schemas.microsoft.com/office/drawing/2014/main" id="{B4AF4E6E-4AB1-4189-A98A-412E3E405C52}"/>
            </a:ext>
          </a:extLst>
        </xdr:cNvPr>
        <xdr:cNvCxnSpPr/>
      </xdr:nvCxnSpPr>
      <xdr:spPr>
        <a:xfrm>
          <a:off x="4857750" y="552450"/>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47625</xdr:colOff>
      <xdr:row>18</xdr:row>
      <xdr:rowOff>104775</xdr:rowOff>
    </xdr:from>
    <xdr:to>
      <xdr:col>9</xdr:col>
      <xdr:colOff>447675</xdr:colOff>
      <xdr:row>19</xdr:row>
      <xdr:rowOff>76200</xdr:rowOff>
    </xdr:to>
    <xdr:cxnSp macro="">
      <xdr:nvCxnSpPr>
        <xdr:cNvPr id="7" name="Connector: Elbow 6">
          <a:extLst>
            <a:ext uri="{FF2B5EF4-FFF2-40B4-BE49-F238E27FC236}">
              <a16:creationId xmlns:a16="http://schemas.microsoft.com/office/drawing/2014/main" id="{A2D98DC4-7DD6-419D-9A88-F78EAE51A8FB}"/>
            </a:ext>
          </a:extLst>
        </xdr:cNvPr>
        <xdr:cNvCxnSpPr/>
      </xdr:nvCxnSpPr>
      <xdr:spPr>
        <a:xfrm>
          <a:off x="4848225" y="2676525"/>
          <a:ext cx="400050" cy="114300"/>
        </a:xfrm>
        <a:prstGeom prst="bentConnector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ER43/TechHW/Industry/CIO%20Surveys/CIO%20Survey%202012/Jul%202012%20Macro%20Charts.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ER43/TechHW/Industry/Industry%20Misc/Durable%20Good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quest_AI%20server%20supply-demand%20assumptions_1107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quest_AI%20server%20supply-demand%20assumptions_022024.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ER43/TechHW/Company%20Folders/Fusion%20IO/Market_Size/TAM/MS_FIO_TAM_Master.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Grace%20H%20Chen/By%20Company-Taiwan/Quanta/AI%20Server%20ODM%20Assumptions/AI%20server%20ODM%20share%20assumptions_wip.xlsx" TargetMode="External"/><Relationship Id="rId2" Type="http://schemas.openxmlformats.org/officeDocument/2006/relationships/externalLinkPath" Target="file:///L:\data\Grace%20H%20Chen\By%20Company-Taiwan\Quanta\AI%20Server%20ODM%20Assumptions\AI%20server%20ODM%20share%20assumptions_wip.xlsx" TargetMode="External"/><Relationship Id="rId1" Type="http://schemas.openxmlformats.org/officeDocument/2006/relationships/externalLinkPath" Target="/data/Grace%20H%20Chen/By%20Company-Taiwan/Quanta/AI%20Server%20ODM%20Assumptions/AI%20server%20ODM%20share%20assumptions_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DATASHEET"/>
      <sheetName val="Demographics"/>
      <sheetName val="Sheet1"/>
    </sheetNames>
    <sheetDataSet>
      <sheetData sheetId="0"/>
      <sheetData sheetId="1">
        <row r="8">
          <cell r="M8">
            <v>2.0879999999999999E-2</v>
          </cell>
        </row>
      </sheetData>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tal DG"/>
      <sheetName val="Comp&amp;Elect"/>
      <sheetName val="Comp&amp;Related"/>
      <sheetName val="Hardware Charts"/>
      <sheetName val="__FDSCACHE__"/>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DM share analysis"/>
      <sheetName val="Supply chain &amp; Leadtime"/>
      <sheetName val="Data Center Capex"/>
      <sheetName val="BoM"/>
      <sheetName val="CoWoS capacity"/>
    </sheetNames>
    <sheetDataSet>
      <sheetData sheetId="0"/>
      <sheetData sheetId="1">
        <row r="2">
          <cell r="B2" t="str">
            <v>Nvidia AI server unit assumption</v>
          </cell>
        </row>
        <row r="3">
          <cell r="B3" t="str">
            <v>k units</v>
          </cell>
          <cell r="C3">
            <v>2022</v>
          </cell>
          <cell r="D3">
            <v>2023</v>
          </cell>
          <cell r="E3">
            <v>2024</v>
          </cell>
          <cell r="F3">
            <v>2025</v>
          </cell>
        </row>
        <row r="4">
          <cell r="B4" t="str">
            <v>HGX+DGX+L40S</v>
          </cell>
          <cell r="C4">
            <v>120.6</v>
          </cell>
          <cell r="D4">
            <v>405.1875</v>
          </cell>
          <cell r="E4">
            <v>627.79999999999995</v>
          </cell>
          <cell r="F4">
            <v>829.4</v>
          </cell>
        </row>
        <row r="5">
          <cell r="B5" t="str">
            <v>HGX+DGX</v>
          </cell>
          <cell r="C5">
            <v>95.6</v>
          </cell>
          <cell r="D5">
            <v>255.1875</v>
          </cell>
          <cell r="E5">
            <v>377.8</v>
          </cell>
          <cell r="F5">
            <v>454.4</v>
          </cell>
        </row>
        <row r="6">
          <cell r="B6" t="str">
            <v>HGX</v>
          </cell>
          <cell r="D6">
            <v>245.58750000000001</v>
          </cell>
          <cell r="E6">
            <v>360</v>
          </cell>
          <cell r="F6">
            <v>425</v>
          </cell>
        </row>
        <row r="7">
          <cell r="B7" t="str">
            <v>A100</v>
          </cell>
          <cell r="C7">
            <v>72.099999999999994</v>
          </cell>
          <cell r="D7">
            <v>45.587499999999999</v>
          </cell>
          <cell r="E7">
            <v>0</v>
          </cell>
          <cell r="F7">
            <v>0</v>
          </cell>
        </row>
        <row r="8">
          <cell r="B8" t="str">
            <v>H100</v>
          </cell>
          <cell r="C8">
            <v>18.5</v>
          </cell>
          <cell r="D8">
            <v>200</v>
          </cell>
          <cell r="E8">
            <v>360</v>
          </cell>
          <cell r="F8">
            <v>400</v>
          </cell>
        </row>
        <row r="9">
          <cell r="B9" t="str">
            <v>B100</v>
          </cell>
          <cell r="C9">
            <v>0</v>
          </cell>
          <cell r="D9">
            <v>0</v>
          </cell>
          <cell r="E9">
            <v>0</v>
          </cell>
          <cell r="F9">
            <v>25</v>
          </cell>
        </row>
        <row r="10">
          <cell r="B10" t="str">
            <v>DGX</v>
          </cell>
          <cell r="C10">
            <v>5.0000000000000009</v>
          </cell>
          <cell r="D10">
            <v>9.6000000000000014</v>
          </cell>
          <cell r="E10">
            <v>17.8</v>
          </cell>
          <cell r="F10">
            <v>29.4</v>
          </cell>
        </row>
        <row r="11">
          <cell r="B11" t="str">
            <v>A100</v>
          </cell>
          <cell r="C11">
            <v>4.3000000000000007</v>
          </cell>
          <cell r="D11">
            <v>5.6750000000000007</v>
          </cell>
          <cell r="E11">
            <v>0</v>
          </cell>
          <cell r="F11">
            <v>0</v>
          </cell>
        </row>
        <row r="12">
          <cell r="B12" t="str">
            <v>H100</v>
          </cell>
          <cell r="C12">
            <v>0.70000000000000018</v>
          </cell>
          <cell r="D12">
            <v>3.9249999999999998</v>
          </cell>
          <cell r="E12">
            <v>17.8</v>
          </cell>
          <cell r="F12">
            <v>27</v>
          </cell>
        </row>
        <row r="13">
          <cell r="B13" t="str">
            <v>B100</v>
          </cell>
          <cell r="C13">
            <v>0</v>
          </cell>
          <cell r="D13">
            <v>0</v>
          </cell>
          <cell r="E13">
            <v>0</v>
          </cell>
          <cell r="F13">
            <v>2.4</v>
          </cell>
        </row>
        <row r="14">
          <cell r="B14" t="str">
            <v>Others (L40S, etc)</v>
          </cell>
          <cell r="C14">
            <v>25</v>
          </cell>
          <cell r="D14">
            <v>150</v>
          </cell>
          <cell r="E14">
            <v>250</v>
          </cell>
          <cell r="F14">
            <v>375</v>
          </cell>
        </row>
        <row r="16">
          <cell r="B16" t="str">
            <v>y/y</v>
          </cell>
        </row>
        <row r="17">
          <cell r="B17" t="str">
            <v>HGX+DGX+L40S</v>
          </cell>
          <cell r="D17">
            <v>2.3597636815920398</v>
          </cell>
          <cell r="E17">
            <v>0.54940613913311731</v>
          </cell>
          <cell r="F17">
            <v>0.32112137623446957</v>
          </cell>
        </row>
        <row r="18">
          <cell r="B18" t="str">
            <v>HGX+DGX</v>
          </cell>
          <cell r="E18">
            <v>0.48048003918687243</v>
          </cell>
          <cell r="F18">
            <v>0.2027527792482795</v>
          </cell>
        </row>
        <row r="19">
          <cell r="B19" t="str">
            <v>HGX</v>
          </cell>
          <cell r="D19" t="str">
            <v>--</v>
          </cell>
          <cell r="E19">
            <v>0.4658726523133303</v>
          </cell>
          <cell r="F19">
            <v>0.18055555555555558</v>
          </cell>
        </row>
        <row r="20">
          <cell r="B20" t="str">
            <v>A100</v>
          </cell>
          <cell r="D20">
            <v>-0.36771844660194175</v>
          </cell>
          <cell r="E20" t="str">
            <v>NM</v>
          </cell>
          <cell r="F20" t="str">
            <v>--</v>
          </cell>
        </row>
        <row r="21">
          <cell r="B21" t="str">
            <v>H100</v>
          </cell>
          <cell r="D21">
            <v>9.8108108108108105</v>
          </cell>
          <cell r="E21">
            <v>0.8</v>
          </cell>
          <cell r="F21">
            <v>0.11111111111111116</v>
          </cell>
        </row>
        <row r="22">
          <cell r="B22" t="str">
            <v>B100</v>
          </cell>
          <cell r="D22" t="str">
            <v>--</v>
          </cell>
          <cell r="E22" t="str">
            <v>--</v>
          </cell>
          <cell r="F22" t="str">
            <v>--</v>
          </cell>
        </row>
        <row r="23">
          <cell r="B23" t="str">
            <v>DGX</v>
          </cell>
          <cell r="D23">
            <v>0.91999999999999993</v>
          </cell>
          <cell r="E23">
            <v>0.85416666666666652</v>
          </cell>
          <cell r="F23">
            <v>0.65168539325842678</v>
          </cell>
        </row>
        <row r="24">
          <cell r="B24" t="str">
            <v>A100</v>
          </cell>
          <cell r="D24">
            <v>0.31976744186046502</v>
          </cell>
          <cell r="E24" t="str">
            <v>NM</v>
          </cell>
          <cell r="F24" t="str">
            <v>--</v>
          </cell>
        </row>
        <row r="25">
          <cell r="B25" t="str">
            <v>H100</v>
          </cell>
          <cell r="D25">
            <v>4.6071428571428559</v>
          </cell>
          <cell r="E25">
            <v>3.5350318471337587</v>
          </cell>
          <cell r="F25">
            <v>0.51685393258426959</v>
          </cell>
        </row>
        <row r="26">
          <cell r="B26" t="str">
            <v>B100</v>
          </cell>
          <cell r="D26" t="str">
            <v>--</v>
          </cell>
          <cell r="E26" t="str">
            <v>--</v>
          </cell>
          <cell r="F26" t="str">
            <v>--</v>
          </cell>
        </row>
        <row r="27">
          <cell r="B27" t="str">
            <v>Others (L40S, etc)</v>
          </cell>
          <cell r="E27">
            <v>0.66666666666666674</v>
          </cell>
          <cell r="F27">
            <v>0.5</v>
          </cell>
        </row>
      </sheetData>
      <sheetData sheetId="2">
        <row r="47">
          <cell r="AC47" t="str">
            <v>Nvidia books revenue</v>
          </cell>
        </row>
        <row r="48">
          <cell r="T48" t="str">
            <v>5-7 months</v>
          </cell>
          <cell r="V48" t="str">
            <v>4-5 months</v>
          </cell>
          <cell r="X48" t="str">
            <v>~1 weeks</v>
          </cell>
          <cell r="Z48" t="str">
            <v>1-2 weeks</v>
          </cell>
          <cell r="AC48" t="str">
            <v>↑</v>
          </cell>
          <cell r="AD48" t="str">
            <v>1-2 weeks</v>
          </cell>
          <cell r="AF48" t="str">
            <v>~1 weeks</v>
          </cell>
        </row>
        <row r="49">
          <cell r="T49" t="str">
            <v>HGX</v>
          </cell>
          <cell r="V49" t="str">
            <v>Foundry/CoWoS</v>
          </cell>
          <cell r="W49" t="str">
            <v>→</v>
          </cell>
          <cell r="X49" t="str">
            <v>GPU Module</v>
          </cell>
          <cell r="Y49" t="str">
            <v>→</v>
          </cell>
          <cell r="Z49" t="str">
            <v>GPU Baseboard</v>
          </cell>
          <cell r="AA49" t="str">
            <v>→</v>
          </cell>
          <cell r="AB49" t="str">
            <v>Nvidia</v>
          </cell>
          <cell r="AC49" t="str">
            <v>→</v>
          </cell>
          <cell r="AD49" t="str">
            <v>Server Assembly</v>
          </cell>
          <cell r="AE49" t="str">
            <v>→</v>
          </cell>
          <cell r="AF49" t="str">
            <v>Transport/Install</v>
          </cell>
        </row>
        <row r="50">
          <cell r="V50" t="str">
            <v>TSMC</v>
          </cell>
          <cell r="X50" t="str">
            <v>FII</v>
          </cell>
          <cell r="Z50" t="str">
            <v>FII/Wistron</v>
          </cell>
          <cell r="AD50" t="str">
            <v>FII/Quanta</v>
          </cell>
          <cell r="AF50" t="str">
            <v>↓</v>
          </cell>
        </row>
        <row r="51">
          <cell r="AF51" t="str">
            <v>ODMs book revenue</v>
          </cell>
        </row>
        <row r="57">
          <cell r="T57" t="str">
            <v>5-7 months</v>
          </cell>
          <cell r="V57" t="str">
            <v>4-5 months</v>
          </cell>
          <cell r="X57" t="str">
            <v>~1 weeks</v>
          </cell>
          <cell r="Z57" t="str">
            <v>1-2 weeks</v>
          </cell>
          <cell r="AB57" t="str">
            <v>1-2 weeks</v>
          </cell>
          <cell r="AF57" t="str">
            <v>~1 weeks</v>
          </cell>
        </row>
        <row r="58">
          <cell r="T58" t="str">
            <v>DGX</v>
          </cell>
          <cell r="V58" t="str">
            <v>Foundry/CoWoS</v>
          </cell>
          <cell r="W58" t="str">
            <v>→</v>
          </cell>
          <cell r="X58" t="str">
            <v>GPU Module</v>
          </cell>
          <cell r="Y58" t="str">
            <v>→</v>
          </cell>
          <cell r="Z58" t="str">
            <v>GPU Baseboard</v>
          </cell>
          <cell r="AA58" t="str">
            <v>→</v>
          </cell>
          <cell r="AB58" t="str">
            <v>Server Assembly</v>
          </cell>
          <cell r="AC58" t="str">
            <v>→</v>
          </cell>
          <cell r="AD58" t="str">
            <v>Nvidia</v>
          </cell>
          <cell r="AE58" t="str">
            <v>→</v>
          </cell>
          <cell r="AF58" t="str">
            <v>Transport/Install</v>
          </cell>
        </row>
        <row r="59">
          <cell r="V59" t="str">
            <v>TSMC</v>
          </cell>
          <cell r="X59" t="str">
            <v>FII</v>
          </cell>
          <cell r="Z59" t="str">
            <v>Wistron</v>
          </cell>
          <cell r="AB59" t="str">
            <v>Wistron</v>
          </cell>
          <cell r="AF59" t="str">
            <v>↓</v>
          </cell>
        </row>
        <row r="60">
          <cell r="AF60" t="str">
            <v>Nvidia books revenue</v>
          </cell>
        </row>
        <row r="66">
          <cell r="T66" t="str">
            <v>4-5 months</v>
          </cell>
          <cell r="V66" t="str">
            <v>~3 months</v>
          </cell>
          <cell r="X66" t="str">
            <v>~2 weeks</v>
          </cell>
          <cell r="Z66" t="str">
            <v>~1 weeks</v>
          </cell>
          <cell r="AD66" t="str">
            <v>1-2 weeks</v>
          </cell>
          <cell r="AF66" t="str">
            <v>~1 weeks</v>
          </cell>
        </row>
        <row r="67">
          <cell r="T67" t="str">
            <v>L40S</v>
          </cell>
          <cell r="V67" t="str">
            <v>Foundry</v>
          </cell>
          <cell r="W67" t="str">
            <v>→</v>
          </cell>
          <cell r="X67" t="str">
            <v>Packaging</v>
          </cell>
          <cell r="Y67" t="str">
            <v>→</v>
          </cell>
          <cell r="Z67" t="str">
            <v>GPU Module</v>
          </cell>
          <cell r="AA67" t="str">
            <v>→</v>
          </cell>
          <cell r="AB67" t="str">
            <v>Nvidia</v>
          </cell>
          <cell r="AC67" t="str">
            <v>→</v>
          </cell>
          <cell r="AD67" t="str">
            <v>Server Assembly</v>
          </cell>
          <cell r="AE67" t="str">
            <v>→</v>
          </cell>
          <cell r="AF67" t="str">
            <v>Transport/Install</v>
          </cell>
        </row>
        <row r="68">
          <cell r="V68" t="str">
            <v>TSMC</v>
          </cell>
          <cell r="X68" t="str">
            <v>ASE/SPIL</v>
          </cell>
          <cell r="Z68" t="str">
            <v>FII</v>
          </cell>
          <cell r="AC68" t="str">
            <v>↓</v>
          </cell>
          <cell r="AD68" t="str">
            <v>FII/Quanta</v>
          </cell>
          <cell r="AF68" t="str">
            <v>↓</v>
          </cell>
        </row>
        <row r="69">
          <cell r="AC69" t="str">
            <v>Nvidia books revenue</v>
          </cell>
          <cell r="AF69" t="str">
            <v>ODMs book revenue</v>
          </cell>
        </row>
        <row r="79">
          <cell r="AL79" t="str">
            <v>HGX
(5-7 months)</v>
          </cell>
          <cell r="AN79" t="str">
            <v>DGX
(5-7 months)</v>
          </cell>
          <cell r="AP79" t="str">
            <v>L40S
(4-5 months)</v>
          </cell>
        </row>
        <row r="81">
          <cell r="AL81" t="str">
            <v>Foundry/CoWoS
GPU Module
GPU Baseboard
(~5 months)</v>
          </cell>
          <cell r="AN81" t="str">
            <v>Foundry/CoWoS
GPU Module
GPU Baseboard
Server Assembly
(5-6 months)</v>
          </cell>
          <cell r="AP81" t="str">
            <v>Foundry
Packaging
GPU Module
(3-4 months)</v>
          </cell>
        </row>
        <row r="82">
          <cell r="AL82" t="str">
            <v>↓</v>
          </cell>
          <cell r="AN82" t="str">
            <v>↓</v>
          </cell>
          <cell r="AP82" t="str">
            <v>↓</v>
          </cell>
        </row>
        <row r="83">
          <cell r="AL83" t="str">
            <v>Nvidia</v>
          </cell>
          <cell r="AN83" t="str">
            <v>Nvidia</v>
          </cell>
          <cell r="AP83" t="str">
            <v>Nvidia</v>
          </cell>
        </row>
        <row r="84">
          <cell r="AL84" t="str">
            <v>↓</v>
          </cell>
          <cell r="AN84" t="str">
            <v>↓</v>
          </cell>
          <cell r="AP84" t="str">
            <v>↓</v>
          </cell>
        </row>
        <row r="85">
          <cell r="AL85" t="str">
            <v>Server Assembly
Transport/Install
(2-3 weeks)</v>
          </cell>
          <cell r="AN85" t="str">
            <v>Transport/Install
(~1 week)</v>
          </cell>
          <cell r="AP85" t="str">
            <v>Server Assembly
Transport/Install
(2-3 weeks)</v>
          </cell>
        </row>
      </sheetData>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DM share analysis"/>
      <sheetName val="Supply chain &amp; Leadtime"/>
      <sheetName val="Data Center Capex"/>
      <sheetName val="BoM"/>
      <sheetName val="CoWoS allocation"/>
    </sheetNames>
    <sheetDataSet>
      <sheetData sheetId="0" refreshError="1"/>
      <sheetData sheetId="1">
        <row r="2">
          <cell r="B2" t="str">
            <v>Nvidia AI server unit assumption</v>
          </cell>
        </row>
        <row r="3">
          <cell r="B3" t="str">
            <v>k units</v>
          </cell>
          <cell r="C3">
            <v>2022</v>
          </cell>
          <cell r="D3">
            <v>2023</v>
          </cell>
          <cell r="E3">
            <v>2024</v>
          </cell>
          <cell r="F3">
            <v>2025</v>
          </cell>
          <cell r="G3">
            <v>2026</v>
          </cell>
        </row>
        <row r="4">
          <cell r="B4" t="str">
            <v>HGX+DGX+L40S</v>
          </cell>
          <cell r="C4">
            <v>120.6</v>
          </cell>
          <cell r="D4">
            <v>292.60000000000002</v>
          </cell>
          <cell r="E4">
            <v>505.1</v>
          </cell>
          <cell r="F4">
            <v>502.59999999999997</v>
          </cell>
          <cell r="G4">
            <v>537.5</v>
          </cell>
        </row>
        <row r="5">
          <cell r="B5" t="str">
            <v>HGX+DGX</v>
          </cell>
          <cell r="C5">
            <v>95.6</v>
          </cell>
          <cell r="D5">
            <v>194.6</v>
          </cell>
          <cell r="E5">
            <v>332.1</v>
          </cell>
          <cell r="F5">
            <v>322.59999999999997</v>
          </cell>
          <cell r="G5">
            <v>305</v>
          </cell>
        </row>
        <row r="6">
          <cell r="B6" t="str">
            <v>HGX</v>
          </cell>
          <cell r="D6">
            <v>185</v>
          </cell>
          <cell r="E6">
            <v>311.3</v>
          </cell>
          <cell r="F6">
            <v>293.2</v>
          </cell>
          <cell r="G6">
            <v>275</v>
          </cell>
        </row>
        <row r="7">
          <cell r="B7" t="str">
            <v>A100</v>
          </cell>
          <cell r="C7">
            <v>72.099999999999994</v>
          </cell>
          <cell r="D7">
            <v>70</v>
          </cell>
          <cell r="E7">
            <v>36.5</v>
          </cell>
          <cell r="F7">
            <v>0</v>
          </cell>
          <cell r="G7">
            <v>0</v>
          </cell>
        </row>
        <row r="8">
          <cell r="B8" t="str">
            <v>H100</v>
          </cell>
          <cell r="C8">
            <v>18.5</v>
          </cell>
          <cell r="D8">
            <v>115</v>
          </cell>
          <cell r="E8">
            <v>265.3</v>
          </cell>
          <cell r="F8">
            <v>232.2</v>
          </cell>
          <cell r="G8">
            <v>77</v>
          </cell>
        </row>
        <row r="9">
          <cell r="B9" t="str">
            <v>B100</v>
          </cell>
          <cell r="C9">
            <v>0</v>
          </cell>
          <cell r="D9">
            <v>0</v>
          </cell>
          <cell r="E9">
            <v>9.5</v>
          </cell>
          <cell r="F9">
            <v>61</v>
          </cell>
          <cell r="G9">
            <v>198</v>
          </cell>
        </row>
        <row r="10">
          <cell r="B10" t="str">
            <v>DGX</v>
          </cell>
          <cell r="C10">
            <v>5.0000000000000009</v>
          </cell>
          <cell r="D10">
            <v>9.6000000000000014</v>
          </cell>
          <cell r="E10">
            <v>20.8</v>
          </cell>
          <cell r="F10">
            <v>29.4</v>
          </cell>
          <cell r="G10">
            <v>30</v>
          </cell>
        </row>
        <row r="11">
          <cell r="B11" t="str">
            <v>A100</v>
          </cell>
          <cell r="C11">
            <v>4.3000000000000007</v>
          </cell>
          <cell r="D11">
            <v>5.6750000000000007</v>
          </cell>
          <cell r="E11">
            <v>3</v>
          </cell>
          <cell r="F11">
            <v>0</v>
          </cell>
          <cell r="G11">
            <v>0</v>
          </cell>
        </row>
        <row r="12">
          <cell r="B12" t="str">
            <v>H100</v>
          </cell>
          <cell r="C12">
            <v>0.70000000000000018</v>
          </cell>
          <cell r="D12">
            <v>3.9249999999999998</v>
          </cell>
          <cell r="E12">
            <v>17.8</v>
          </cell>
          <cell r="F12">
            <v>27</v>
          </cell>
          <cell r="G12">
            <v>15</v>
          </cell>
        </row>
        <row r="13">
          <cell r="B13" t="str">
            <v>B100</v>
          </cell>
          <cell r="C13">
            <v>0</v>
          </cell>
          <cell r="D13">
            <v>0</v>
          </cell>
          <cell r="E13">
            <v>0</v>
          </cell>
          <cell r="F13">
            <v>2.4</v>
          </cell>
          <cell r="G13">
            <v>15</v>
          </cell>
        </row>
        <row r="14">
          <cell r="B14" t="str">
            <v>Others (L40S, etc)</v>
          </cell>
          <cell r="C14">
            <v>25</v>
          </cell>
          <cell r="D14">
            <v>98</v>
          </cell>
          <cell r="E14">
            <v>173</v>
          </cell>
          <cell r="F14">
            <v>180</v>
          </cell>
          <cell r="G14">
            <v>232.5</v>
          </cell>
        </row>
        <row r="16">
          <cell r="B16" t="str">
            <v>y/y</v>
          </cell>
        </row>
        <row r="17">
          <cell r="B17" t="str">
            <v>HGX+DGX+L40S</v>
          </cell>
          <cell r="D17">
            <v>1.42620232172471</v>
          </cell>
          <cell r="E17">
            <v>0.72624743677375259</v>
          </cell>
          <cell r="F17">
            <v>-4.9495149475352607E-3</v>
          </cell>
          <cell r="G17">
            <v>6.9438917628332764E-2</v>
          </cell>
        </row>
        <row r="18">
          <cell r="B18" t="str">
            <v>HGX+DGX</v>
          </cell>
          <cell r="E18">
            <v>0.70657759506680384</v>
          </cell>
          <cell r="F18">
            <v>-2.8605841613971839E-2</v>
          </cell>
          <cell r="G18">
            <v>-5.4556726596404093E-2</v>
          </cell>
        </row>
        <row r="19">
          <cell r="B19" t="str">
            <v>HGX</v>
          </cell>
          <cell r="D19" t="str">
            <v>--</v>
          </cell>
          <cell r="E19">
            <v>0.68270270270270283</v>
          </cell>
          <cell r="F19">
            <v>-5.8143270157404503E-2</v>
          </cell>
          <cell r="G19">
            <v>-6.207366984993179E-2</v>
          </cell>
        </row>
        <row r="20">
          <cell r="B20" t="str">
            <v>A100</v>
          </cell>
          <cell r="D20">
            <v>-2.9126213592232886E-2</v>
          </cell>
          <cell r="E20" t="str">
            <v>NM</v>
          </cell>
          <cell r="F20">
            <v>-1</v>
          </cell>
          <cell r="G20" t="str">
            <v>--</v>
          </cell>
        </row>
        <row r="21">
          <cell r="B21" t="str">
            <v>H100</v>
          </cell>
          <cell r="D21">
            <v>5.2162162162162158</v>
          </cell>
          <cell r="E21">
            <v>1.3069565217391306</v>
          </cell>
          <cell r="F21">
            <v>-0.12476441764040713</v>
          </cell>
          <cell r="G21">
            <v>-0.66838931955211023</v>
          </cell>
        </row>
        <row r="22">
          <cell r="B22" t="str">
            <v>B100</v>
          </cell>
          <cell r="D22" t="str">
            <v>--</v>
          </cell>
          <cell r="E22" t="str">
            <v>--</v>
          </cell>
          <cell r="F22">
            <v>5.4210526315789478</v>
          </cell>
          <cell r="G22">
            <v>2.2459016393442623</v>
          </cell>
        </row>
        <row r="23">
          <cell r="B23" t="str">
            <v>DGX</v>
          </cell>
          <cell r="D23">
            <v>0.91999999999999993</v>
          </cell>
          <cell r="E23">
            <v>1.1666666666666665</v>
          </cell>
          <cell r="F23">
            <v>0.41346153846153832</v>
          </cell>
          <cell r="G23">
            <v>2.0408163265306145E-2</v>
          </cell>
        </row>
        <row r="24">
          <cell r="B24" t="str">
            <v>A100</v>
          </cell>
          <cell r="D24">
            <v>0.31976744186046502</v>
          </cell>
          <cell r="E24" t="str">
            <v>NM</v>
          </cell>
          <cell r="F24">
            <v>-1</v>
          </cell>
          <cell r="G24" t="str">
            <v>--</v>
          </cell>
        </row>
        <row r="25">
          <cell r="B25" t="str">
            <v>H100</v>
          </cell>
          <cell r="D25">
            <v>4.6071428571428559</v>
          </cell>
          <cell r="E25">
            <v>3.5350318471337587</v>
          </cell>
          <cell r="F25">
            <v>0.51685393258426959</v>
          </cell>
          <cell r="G25">
            <v>-0.44444444444444442</v>
          </cell>
        </row>
        <row r="26">
          <cell r="B26" t="str">
            <v>B100</v>
          </cell>
          <cell r="D26" t="str">
            <v>--</v>
          </cell>
          <cell r="E26" t="str">
            <v>--</v>
          </cell>
          <cell r="F26" t="str">
            <v>--</v>
          </cell>
          <cell r="G26">
            <v>5.25</v>
          </cell>
        </row>
        <row r="27">
          <cell r="B27" t="str">
            <v>Others (L40S, etc)</v>
          </cell>
          <cell r="E27">
            <v>0.76530612244897966</v>
          </cell>
          <cell r="F27">
            <v>4.0462427745664664E-2</v>
          </cell>
          <cell r="G27">
            <v>0.29166666666666674</v>
          </cell>
        </row>
      </sheetData>
      <sheetData sheetId="2">
        <row r="47">
          <cell r="AC47" t="str">
            <v>Nvidia books revenue</v>
          </cell>
        </row>
        <row r="48">
          <cell r="T48" t="str">
            <v>5-7 months</v>
          </cell>
          <cell r="V48" t="str">
            <v>4-5 months</v>
          </cell>
          <cell r="X48" t="str">
            <v>~1 weeks</v>
          </cell>
          <cell r="Z48" t="str">
            <v>1-2 weeks</v>
          </cell>
          <cell r="AC48" t="str">
            <v>↑</v>
          </cell>
          <cell r="AD48" t="str">
            <v>1-2 weeks</v>
          </cell>
          <cell r="AF48" t="str">
            <v>2-3 months</v>
          </cell>
        </row>
        <row r="49">
          <cell r="T49" t="str">
            <v>HGX</v>
          </cell>
          <cell r="V49" t="str">
            <v>Foundry/CoWoS</v>
          </cell>
          <cell r="W49" t="str">
            <v>→</v>
          </cell>
          <cell r="X49" t="str">
            <v>GPU Module</v>
          </cell>
          <cell r="Y49" t="str">
            <v>→</v>
          </cell>
          <cell r="Z49" t="str">
            <v>GPU Baseboard</v>
          </cell>
          <cell r="AA49" t="str">
            <v>→</v>
          </cell>
          <cell r="AB49" t="str">
            <v>Nvidia</v>
          </cell>
          <cell r="AC49" t="str">
            <v>→</v>
          </cell>
          <cell r="AD49" t="str">
            <v>Server Assembly</v>
          </cell>
          <cell r="AE49" t="str">
            <v>→</v>
          </cell>
          <cell r="AF49" t="str">
            <v>Transport/Install</v>
          </cell>
        </row>
        <row r="50">
          <cell r="V50" t="str">
            <v>TSMC</v>
          </cell>
          <cell r="X50" t="str">
            <v>FII</v>
          </cell>
          <cell r="Z50" t="str">
            <v>FII/Wistron</v>
          </cell>
          <cell r="AD50" t="str">
            <v>FII/Quanta</v>
          </cell>
          <cell r="AF50" t="str">
            <v>↓</v>
          </cell>
        </row>
        <row r="51">
          <cell r="AF51" t="str">
            <v>ODMs book revenue</v>
          </cell>
        </row>
        <row r="57">
          <cell r="T57" t="str">
            <v>5-7 months</v>
          </cell>
          <cell r="V57" t="str">
            <v>4-5 months</v>
          </cell>
          <cell r="X57" t="str">
            <v>~1 weeks</v>
          </cell>
          <cell r="Z57" t="str">
            <v>1-2 weeks</v>
          </cell>
          <cell r="AB57" t="str">
            <v>1-2 weeks</v>
          </cell>
          <cell r="AF57" t="str">
            <v>2-3 months</v>
          </cell>
        </row>
        <row r="58">
          <cell r="T58" t="str">
            <v>DGX</v>
          </cell>
          <cell r="V58" t="str">
            <v>Foundry/CoWoS</v>
          </cell>
          <cell r="W58" t="str">
            <v>→</v>
          </cell>
          <cell r="X58" t="str">
            <v>GPU Module</v>
          </cell>
          <cell r="Y58" t="str">
            <v>→</v>
          </cell>
          <cell r="Z58" t="str">
            <v>GPU Baseboard</v>
          </cell>
          <cell r="AA58" t="str">
            <v>→</v>
          </cell>
          <cell r="AB58" t="str">
            <v>Server Assembly</v>
          </cell>
          <cell r="AC58" t="str">
            <v>→</v>
          </cell>
          <cell r="AD58" t="str">
            <v>Nvidia</v>
          </cell>
          <cell r="AE58" t="str">
            <v>→</v>
          </cell>
          <cell r="AF58" t="str">
            <v>Transport/Install</v>
          </cell>
        </row>
        <row r="59">
          <cell r="V59" t="str">
            <v>TSMC</v>
          </cell>
          <cell r="X59" t="str">
            <v>FII</v>
          </cell>
          <cell r="Z59" t="str">
            <v>Wistron</v>
          </cell>
          <cell r="AB59" t="str">
            <v>Wistron</v>
          </cell>
          <cell r="AF59" t="str">
            <v>↓</v>
          </cell>
        </row>
        <row r="60">
          <cell r="AF60" t="str">
            <v>Nvidia books revenue</v>
          </cell>
        </row>
        <row r="66">
          <cell r="T66" t="str">
            <v>4-5 months</v>
          </cell>
          <cell r="V66" t="str">
            <v>~3 months</v>
          </cell>
          <cell r="X66" t="str">
            <v>~2 weeks</v>
          </cell>
          <cell r="Z66" t="str">
            <v>~1 weeks</v>
          </cell>
          <cell r="AD66" t="str">
            <v>1-2 weeks</v>
          </cell>
          <cell r="AF66" t="str">
            <v>2-3 months</v>
          </cell>
        </row>
        <row r="67">
          <cell r="T67" t="str">
            <v>L40S</v>
          </cell>
          <cell r="V67" t="str">
            <v>Foundry</v>
          </cell>
          <cell r="W67" t="str">
            <v>→</v>
          </cell>
          <cell r="X67" t="str">
            <v>Packaging</v>
          </cell>
          <cell r="Y67" t="str">
            <v>→</v>
          </cell>
          <cell r="Z67" t="str">
            <v>GPU Module</v>
          </cell>
          <cell r="AA67" t="str">
            <v>→</v>
          </cell>
          <cell r="AB67" t="str">
            <v>Nvidia</v>
          </cell>
          <cell r="AC67" t="str">
            <v>→</v>
          </cell>
          <cell r="AD67" t="str">
            <v>Server Assembly</v>
          </cell>
          <cell r="AE67" t="str">
            <v>→</v>
          </cell>
          <cell r="AF67" t="str">
            <v>Transport/Install</v>
          </cell>
        </row>
        <row r="68">
          <cell r="V68" t="str">
            <v>TSMC</v>
          </cell>
          <cell r="X68" t="str">
            <v>ASE/SPIL</v>
          </cell>
          <cell r="Z68" t="str">
            <v>FII</v>
          </cell>
          <cell r="AC68" t="str">
            <v>↓</v>
          </cell>
          <cell r="AD68" t="str">
            <v>FII/Quanta</v>
          </cell>
          <cell r="AF68" t="str">
            <v>↓</v>
          </cell>
        </row>
        <row r="69">
          <cell r="AC69" t="str">
            <v>Nvidia books revenue</v>
          </cell>
          <cell r="AF69" t="str">
            <v>ODMs book revenue</v>
          </cell>
        </row>
      </sheetData>
      <sheetData sheetId="3" refreshError="1"/>
      <sheetData sheetId="4">
        <row r="38">
          <cell r="B38" t="str">
            <v>8x H100 GPU Server</v>
          </cell>
        </row>
      </sheetData>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ummary"/>
      <sheetName val="GOOG"/>
      <sheetName val="MSFT"/>
      <sheetName val="AMZN"/>
      <sheetName val="YHOO"/>
      <sheetName val="EBAY"/>
      <sheetName val="FB"/>
      <sheetName val="Tencent"/>
      <sheetName val="AAPL"/>
      <sheetName val="BIDU"/>
      <sheetName val="AKAM"/>
      <sheetName val="RAX"/>
      <sheetName val="YNDX"/>
      <sheetName val="SINA"/>
      <sheetName val="LNKD"/>
      <sheetName val="CRM"/>
      <sheetName val="P"/>
      <sheetName val="Penetration"/>
      <sheetName val="Top 25"/>
      <sheetName val="#REF"/>
    </sheetNames>
    <sheetDataSet>
      <sheetData sheetId="0">
        <row r="4">
          <cell r="B4" t="str">
            <v>US Enterprise Hardware</v>
          </cell>
        </row>
      </sheetData>
      <sheetData sheetId="1">
        <row r="5">
          <cell r="B5" t="str">
            <v>Please Select Your Assumptions:</v>
          </cell>
        </row>
      </sheetData>
      <sheetData sheetId="2">
        <row r="4">
          <cell r="D4">
            <v>2008</v>
          </cell>
        </row>
      </sheetData>
      <sheetData sheetId="3">
        <row r="4">
          <cell r="D4">
            <v>2008</v>
          </cell>
        </row>
      </sheetData>
      <sheetData sheetId="4">
        <row r="4">
          <cell r="D4">
            <v>2008</v>
          </cell>
        </row>
      </sheetData>
      <sheetData sheetId="5">
        <row r="4">
          <cell r="D4">
            <v>2008</v>
          </cell>
        </row>
      </sheetData>
      <sheetData sheetId="6">
        <row r="4">
          <cell r="D4">
            <v>2008</v>
          </cell>
        </row>
      </sheetData>
      <sheetData sheetId="7">
        <row r="4">
          <cell r="D4">
            <v>2008</v>
          </cell>
        </row>
      </sheetData>
      <sheetData sheetId="8">
        <row r="5">
          <cell r="D5">
            <v>2008</v>
          </cell>
        </row>
      </sheetData>
      <sheetData sheetId="9">
        <row r="4">
          <cell r="F4">
            <v>2010</v>
          </cell>
        </row>
      </sheetData>
      <sheetData sheetId="10">
        <row r="5">
          <cell r="D5">
            <v>2008</v>
          </cell>
        </row>
      </sheetData>
      <sheetData sheetId="11">
        <row r="5">
          <cell r="D5">
            <v>2008</v>
          </cell>
        </row>
      </sheetData>
      <sheetData sheetId="12">
        <row r="4">
          <cell r="D4">
            <v>2008</v>
          </cell>
        </row>
      </sheetData>
      <sheetData sheetId="13">
        <row r="5">
          <cell r="G5">
            <v>2011</v>
          </cell>
        </row>
      </sheetData>
      <sheetData sheetId="14">
        <row r="5">
          <cell r="D5">
            <v>2008</v>
          </cell>
        </row>
      </sheetData>
      <sheetData sheetId="15">
        <row r="5">
          <cell r="E5">
            <v>2009</v>
          </cell>
        </row>
      </sheetData>
      <sheetData sheetId="16">
        <row r="5">
          <cell r="D5">
            <v>2008</v>
          </cell>
        </row>
      </sheetData>
      <sheetData sheetId="17">
        <row r="5">
          <cell r="C5" t="str">
            <v>Unit of measurement</v>
          </cell>
        </row>
      </sheetData>
      <sheetData sheetId="18">
        <row r="2">
          <cell r="C2" t="str">
            <v>Fusion-io's</v>
          </cell>
        </row>
      </sheetData>
      <sheetData sheetId="19">
        <row r="2">
          <cell r="B2" t="str">
            <v>Traffic</v>
          </cell>
        </row>
      </sheetData>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GPU Roadmap"/>
      <sheetName val="ASIC Roadmap"/>
      <sheetName val="Nvidia Rack Layout"/>
      <sheetName val="Trainium Rack Layout"/>
      <sheetName val="TPU Rack Layout"/>
      <sheetName val="NVL72 Power Budget"/>
      <sheetName val="ODM share analysis"/>
      <sheetName val="Nvidia"/>
      <sheetName val="Stargate"/>
      <sheetName val="TPU"/>
      <sheetName val=" Hon Hai-Quanta"/>
      <sheetName val="GB Yield Assumptions"/>
      <sheetName val="GB200-300 Tracker"/>
      <sheetName val="Trainium Tracker"/>
      <sheetName val="TPU Tracker"/>
      <sheetName val="CLS revenue"/>
      <sheetName val="Wistron-Dell"/>
      <sheetName val="GB200 ODM Partners"/>
      <sheetName val="Sheet4"/>
      <sheetName val="Sheet3"/>
      <sheetName val="Sheet2"/>
      <sheetName val="AI chips"/>
      <sheetName val="NVDA vs UBB"/>
      <sheetName val="UBB share"/>
      <sheetName val="UBB share (OLD)"/>
      <sheetName val="GPU price"/>
      <sheetName val="Supply chain &amp; Leadtime"/>
      <sheetName val="Cloud Capex Tracker"/>
      <sheetName val="Data Center Capex"/>
      <sheetName val="Other brokers"/>
      <sheetName val="CoWoS allocation"/>
      <sheetName val="SMCI-DELL-HP"/>
      <sheetName val="AI wafer and HBM"/>
      <sheetName val="HBM TSV capacity "/>
      <sheetName val="IDC"/>
      <sheetName val="H100 BoM"/>
      <sheetName val="Amphenol Content"/>
      <sheetName val="VR200 BoM "/>
      <sheetName val="GB300 BoM"/>
      <sheetName val="GB200 BoM"/>
      <sheetName val="NVL72 BoM Comparison"/>
      <sheetName val="GB200 BoM (OLD)"/>
      <sheetName val="GB200 BOM (OLDOLD)"/>
      <sheetName val="DigiTimes"/>
      <sheetName val="ChatGPT"/>
      <sheetName val="AWS Trn2 BoM"/>
      <sheetName val="AMD GPU roadmap"/>
      <sheetName val="Supply chain mapping"/>
      <sheetName val="Amazon"/>
      <sheetName val="Google"/>
      <sheetName val="Meta"/>
      <sheetName val="Microsoft"/>
    </sheetNames>
    <sheetDataSet>
      <sheetData sheetId="0"/>
      <sheetData sheetId="1"/>
      <sheetData sheetId="2"/>
      <sheetData sheetId="3"/>
      <sheetData sheetId="4"/>
      <sheetData sheetId="5"/>
      <sheetData sheetId="6">
        <row r="29">
          <cell r="E29">
            <v>131673.59999999998</v>
          </cell>
          <cell r="J29">
            <v>146336.4</v>
          </cell>
          <cell r="O29">
            <v>233517.6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Morgan Stanley Research">
      <a:dk1>
        <a:sysClr val="windowText" lastClr="000000"/>
      </a:dk1>
      <a:lt1>
        <a:sysClr val="window" lastClr="FFFFFF"/>
      </a:lt1>
      <a:dk2>
        <a:srgbClr val="44546A"/>
      </a:dk2>
      <a:lt2>
        <a:srgbClr val="E7E6E6"/>
      </a:lt2>
      <a:accent1>
        <a:srgbClr val="137CB1"/>
      </a:accent1>
      <a:accent2>
        <a:srgbClr val="EACC80"/>
      </a:accent2>
      <a:accent3>
        <a:srgbClr val="4AAC6B"/>
      </a:accent3>
      <a:accent4>
        <a:srgbClr val="A8D7E2"/>
      </a:accent4>
      <a:accent5>
        <a:srgbClr val="E58061"/>
      </a:accent5>
      <a:accent6>
        <a:srgbClr val="BCE3A1"/>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3.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4.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5.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6.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7.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8.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9.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0.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1.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2.xml><?xml version="1.0" encoding="utf-8"?>
<a:themeOverride xmlns:a="http://schemas.openxmlformats.org/drawingml/2006/main">
  <a:clrScheme name="Morgan">
    <a:dk1>
      <a:srgbClr val="000000"/>
    </a:dk1>
    <a:lt1>
      <a:srgbClr val="FFFFFF"/>
    </a:lt1>
    <a:dk2>
      <a:srgbClr val="97D0FF"/>
    </a:dk2>
    <a:lt2>
      <a:srgbClr val="A9A9A9"/>
    </a:lt2>
    <a:accent1>
      <a:srgbClr val="005AA4"/>
    </a:accent1>
    <a:accent2>
      <a:srgbClr val="00A1E2"/>
    </a:accent2>
    <a:accent3>
      <a:srgbClr val="6769B5"/>
    </a:accent3>
    <a:accent4>
      <a:srgbClr val="3BC3A3"/>
    </a:accent4>
    <a:accent5>
      <a:srgbClr val="D0B86A"/>
    </a:accent5>
    <a:accent6>
      <a:srgbClr val="93959B"/>
    </a:accent6>
    <a:hlink>
      <a:srgbClr val="50CEFF"/>
    </a:hlink>
    <a:folHlink>
      <a:srgbClr val="A2A2A2"/>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3.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4.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5.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6.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7.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8.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19.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0.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1.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2.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3.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4.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5.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6.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7.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theme/themeOverride28.xml><?xml version="1.0" encoding="utf-8"?>
<a:themeOverride xmlns:a="http://schemas.openxmlformats.org/drawingml/2006/main">
  <a:clrScheme name="_NewOffice365">
    <a:dk1>
      <a:sysClr val="windowText" lastClr="000000"/>
    </a:dk1>
    <a:lt1>
      <a:sysClr val="window" lastClr="FFFFFF"/>
    </a:lt1>
    <a:dk2>
      <a:srgbClr val="003366"/>
    </a:dk2>
    <a:lt2>
      <a:srgbClr val="C6D9E2"/>
    </a:lt2>
    <a:accent1>
      <a:srgbClr val="005AA4"/>
    </a:accent1>
    <a:accent2>
      <a:srgbClr val="D0B86A"/>
    </a:accent2>
    <a:accent3>
      <a:srgbClr val="226B5A"/>
    </a:accent3>
    <a:accent4>
      <a:srgbClr val="00A1E2"/>
    </a:accent4>
    <a:accent5>
      <a:srgbClr val="873246"/>
    </a:accent5>
    <a:accent6>
      <a:srgbClr val="6769E2"/>
    </a:accent6>
    <a:hlink>
      <a:srgbClr val="0000FF"/>
    </a:hlink>
    <a:folHlink>
      <a:srgbClr val="800080"/>
    </a:folHlink>
  </a:clrScheme>
  <a:fontScheme name="Rothschild">
    <a:majorFont>
      <a:latin typeface="Georg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othschild">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6350" cap="rnd" cmpd="sng" algn="ctr">
        <a:solidFill>
          <a:schemeClr val="phClr">
            <a:shade val="95000"/>
            <a:satMod val="105000"/>
          </a:schemeClr>
        </a:solidFill>
        <a:prstDash val="solid"/>
      </a:ln>
      <a:ln w="48000" cap="flat" cmpd="thickThin" algn="ctr">
        <a:solidFill>
          <a:schemeClr val="phClr"/>
        </a:solidFill>
        <a:prstDash val="solid"/>
      </a:ln>
      <a:ln w="48500" cap="flat" cmpd="thickThin" algn="ctr">
        <a:solidFill>
          <a:schemeClr val="phClr"/>
        </a:solidFill>
        <a:prstDash val="solid"/>
      </a:ln>
    </a:lnStyleLst>
    <a:effectStyleLst>
      <a:effectStyle>
        <a:effectLst>
          <a:outerShdw blurRad="45000" dist="25000" dir="5400000" rotWithShape="0">
            <a:srgbClr val="000000">
              <a:alpha val="38000"/>
            </a:srgbClr>
          </a:outerShdw>
        </a:effectLst>
      </a:effectStyle>
      <a:effectStyle>
        <a:effectLst>
          <a:outerShdw blurRad="39000" dist="25400" dir="5400000" rotWithShape="0">
            <a:srgbClr val="000000">
              <a:alpha val="38000"/>
            </a:srgbClr>
          </a:outerShdw>
        </a:effectLst>
      </a:effectStyle>
      <a:effectStyle>
        <a:effectLst>
          <a:outerShdw blurRad="39000" dist="25400" dir="5400000" rotWithShape="0">
            <a:srgbClr val="000000">
              <a:alpha val="38000"/>
            </a:srgbClr>
          </a:outerShdw>
        </a:effectLst>
        <a:scene3d>
          <a:camera prst="orthographicFront">
            <a:rot lat="0" lon="0" rev="0"/>
          </a:camera>
          <a:lightRig rig="threePt" dir="t">
            <a:rot lat="0" lon="0" rev="1800000"/>
          </a:lightRig>
        </a:scene3d>
        <a:sp3d prstMaterial="matte">
          <a:bevelT h="20000"/>
        </a:sp3d>
      </a:effectStyle>
    </a:effectStyleLst>
    <a:bgFillStyleLst>
      <a:solidFill>
        <a:schemeClr val="phClr"/>
      </a:solidFill>
      <a:gradFill rotWithShape="1">
        <a:gsLst>
          <a:gs pos="0">
            <a:schemeClr val="phClr">
              <a:tint val="48000"/>
              <a:satMod val="300000"/>
            </a:schemeClr>
          </a:gs>
          <a:gs pos="12000">
            <a:schemeClr val="phClr">
              <a:tint val="48000"/>
              <a:satMod val="300000"/>
            </a:schemeClr>
          </a:gs>
          <a:gs pos="20000">
            <a:schemeClr val="phClr">
              <a:tint val="49000"/>
              <a:satMod val="300000"/>
            </a:schemeClr>
          </a:gs>
          <a:gs pos="100000">
            <a:schemeClr val="phClr">
              <a:shade val="30000"/>
            </a:schemeClr>
          </a:gs>
        </a:gsLst>
        <a:path path="circle">
          <a:fillToRect l="10000" t="-25000" r="10000" b="125000"/>
        </a:path>
      </a:gradFill>
      <a:blipFill>
        <a:blip xmlns:r="http://schemas.openxmlformats.org/officeDocument/2006/relationships">
          <a:duotone>
            <a:schemeClr val="phClr">
              <a:shade val="75000"/>
              <a:satMod val="105000"/>
            </a:schemeClr>
            <a:schemeClr val="phClr">
              <a:tint val="95000"/>
              <a:satMod val="105000"/>
            </a:schemeClr>
          </a:duotone>
        </a:blip>
        <a:tile tx="0" ty="0" sx="38000" sy="38000" flip="none" algn="tl"/>
      </a:blip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CECCD-89F7-4284-ADA6-C030E4F22868}">
  <sheetPr>
    <tabColor rgb="FF7030A0"/>
  </sheetPr>
  <dimension ref="B1:CU178"/>
  <sheetViews>
    <sheetView tabSelected="1" zoomScaleNormal="100" workbookViewId="0"/>
  </sheetViews>
  <sheetFormatPr defaultColWidth="0" defaultRowHeight="12.75" customHeight="1" zeroHeight="1" x14ac:dyDescent="0.2"/>
  <cols>
    <col min="1" max="1" width="2.140625" style="8" customWidth="1"/>
    <col min="2" max="2" width="0.7109375" style="8" customWidth="1"/>
    <col min="3" max="5" width="10.140625" style="8" customWidth="1"/>
    <col min="6" max="6" width="4.140625" style="8" customWidth="1"/>
    <col min="7" max="7" width="12.42578125" style="8" customWidth="1"/>
    <col min="8" max="8" width="4.140625" style="8" customWidth="1"/>
    <col min="9" max="17" width="10.140625" style="8" customWidth="1"/>
    <col min="18" max="18" width="5.85546875" style="8" customWidth="1"/>
    <col min="19" max="21" width="10.140625" style="8" hidden="1" customWidth="1"/>
    <col min="22" max="16384" width="0" style="8" hidden="1"/>
  </cols>
  <sheetData>
    <row r="1" spans="2:99" s="2" customFormat="1" ht="15.75" customHeight="1" x14ac:dyDescent="0.2">
      <c r="B1" s="1"/>
      <c r="C1" s="1"/>
      <c r="D1" s="1"/>
      <c r="E1" s="1"/>
      <c r="F1" s="1"/>
      <c r="G1" s="1"/>
      <c r="H1" s="1"/>
      <c r="I1" s="1"/>
      <c r="J1" s="1"/>
      <c r="K1" s="1"/>
      <c r="L1" s="1"/>
      <c r="M1" s="1"/>
      <c r="N1" s="1"/>
      <c r="O1" s="1"/>
      <c r="P1" s="1"/>
      <c r="Q1" s="1"/>
      <c r="R1" s="1"/>
      <c r="S1" s="1"/>
    </row>
    <row r="2" spans="2:99" s="2" customFormat="1" ht="27.75" customHeight="1" x14ac:dyDescent="0.2">
      <c r="B2" s="1"/>
      <c r="C2" s="1"/>
      <c r="D2" s="1"/>
      <c r="E2" s="1"/>
      <c r="F2" s="1"/>
      <c r="G2" s="1"/>
      <c r="H2" s="1"/>
      <c r="I2" s="1"/>
      <c r="J2" s="1"/>
      <c r="K2" s="1"/>
      <c r="L2" s="1"/>
      <c r="M2" s="1"/>
      <c r="N2" s="1"/>
      <c r="O2" s="1"/>
      <c r="P2" s="1"/>
      <c r="Q2" s="1"/>
      <c r="R2" s="1"/>
      <c r="S2" s="1"/>
    </row>
    <row r="3" spans="2:99" s="2" customFormat="1" ht="4.5" customHeight="1" x14ac:dyDescent="0.2">
      <c r="B3" s="1"/>
      <c r="C3" s="3"/>
      <c r="D3" s="3"/>
      <c r="E3" s="3"/>
      <c r="F3" s="1"/>
      <c r="G3" s="1"/>
      <c r="H3" s="1"/>
      <c r="I3" s="1"/>
      <c r="J3" s="1"/>
      <c r="K3" s="1"/>
      <c r="L3" s="1"/>
      <c r="M3" s="1"/>
      <c r="N3" s="1"/>
      <c r="O3" s="1"/>
      <c r="P3" s="1"/>
      <c r="Q3" s="1"/>
      <c r="R3" s="1"/>
      <c r="S3" s="1"/>
    </row>
    <row r="4" spans="2:99" s="7" customFormat="1" ht="26.25" customHeight="1" x14ac:dyDescent="0.2">
      <c r="B4" s="4"/>
      <c r="C4" s="5" t="s">
        <v>0</v>
      </c>
      <c r="D4" s="5"/>
      <c r="E4" s="5"/>
      <c r="F4" s="4"/>
      <c r="G4" s="4"/>
      <c r="H4" s="4"/>
      <c r="I4" s="4"/>
      <c r="J4" s="4"/>
      <c r="K4" s="4"/>
      <c r="L4" s="6"/>
    </row>
    <row r="5" spans="2:99" x14ac:dyDescent="0.2">
      <c r="CU5" s="8">
        <v>29.902000000000001</v>
      </c>
    </row>
    <row r="6" spans="2:99" x14ac:dyDescent="0.2"/>
    <row r="7" spans="2:99" ht="15" x14ac:dyDescent="0.2">
      <c r="I7" s="9" t="s">
        <v>1</v>
      </c>
      <c r="J7" s="9"/>
      <c r="K7" s="9"/>
      <c r="L7" s="9"/>
      <c r="M7" s="9" t="s">
        <v>2</v>
      </c>
      <c r="N7" s="9"/>
      <c r="O7" s="9" t="s">
        <v>3</v>
      </c>
      <c r="P7" s="10"/>
      <c r="Q7" s="9"/>
    </row>
    <row r="8" spans="2:99" x14ac:dyDescent="0.2">
      <c r="I8" s="11" t="s">
        <v>4</v>
      </c>
      <c r="J8" s="12"/>
      <c r="K8" s="12"/>
      <c r="L8" s="13"/>
      <c r="M8" s="13"/>
      <c r="N8" s="12"/>
      <c r="O8" s="13"/>
      <c r="P8" s="14"/>
      <c r="Q8" s="13"/>
    </row>
    <row r="9" spans="2:99" x14ac:dyDescent="0.2">
      <c r="I9" s="15" t="s">
        <v>5</v>
      </c>
      <c r="J9" s="16"/>
      <c r="K9" s="16"/>
      <c r="L9" s="15"/>
      <c r="M9" s="17" t="s">
        <v>6</v>
      </c>
      <c r="N9" s="16"/>
      <c r="O9" s="18" t="s">
        <v>7</v>
      </c>
      <c r="P9" s="19"/>
      <c r="Q9" s="15"/>
    </row>
    <row r="10" spans="2:99" x14ac:dyDescent="0.2">
      <c r="I10" s="15" t="s">
        <v>8</v>
      </c>
      <c r="J10" s="16"/>
      <c r="K10" s="16"/>
      <c r="L10" s="15"/>
      <c r="M10" s="17" t="s">
        <v>9</v>
      </c>
      <c r="N10" s="16"/>
      <c r="O10" s="18" t="s">
        <v>10</v>
      </c>
      <c r="P10" s="19"/>
      <c r="Q10" s="15"/>
    </row>
    <row r="11" spans="2:99" x14ac:dyDescent="0.2">
      <c r="I11" s="15"/>
      <c r="J11" s="16"/>
      <c r="K11" s="16"/>
      <c r="L11" s="15"/>
      <c r="M11" s="17"/>
      <c r="N11" s="16"/>
      <c r="O11" s="18"/>
      <c r="P11" s="19"/>
      <c r="Q11" s="15"/>
    </row>
    <row r="12" spans="2:99" x14ac:dyDescent="0.2">
      <c r="I12" s="15"/>
      <c r="J12" s="16"/>
      <c r="K12" s="16"/>
      <c r="L12" s="15"/>
      <c r="M12" s="17"/>
      <c r="N12" s="16"/>
      <c r="O12" s="18"/>
      <c r="P12" s="16"/>
      <c r="Q12" s="16"/>
    </row>
    <row r="13" spans="2:99" x14ac:dyDescent="0.2">
      <c r="C13" s="15"/>
      <c r="D13" s="16"/>
      <c r="E13" s="16"/>
      <c r="F13" s="15"/>
      <c r="G13" s="15"/>
      <c r="H13" s="16"/>
      <c r="I13" s="20"/>
      <c r="J13" s="16"/>
      <c r="K13" s="16"/>
      <c r="L13" s="21"/>
    </row>
    <row r="14" spans="2:99" x14ac:dyDescent="0.2">
      <c r="C14" s="326" t="s">
        <v>11</v>
      </c>
      <c r="D14" s="326"/>
      <c r="E14" s="326"/>
      <c r="F14" s="326"/>
      <c r="G14" s="326"/>
      <c r="H14" s="326"/>
      <c r="I14" s="326"/>
      <c r="J14" s="327"/>
      <c r="K14" s="327"/>
      <c r="L14" s="327"/>
      <c r="M14" s="327"/>
      <c r="N14" s="327"/>
      <c r="O14" s="327"/>
      <c r="P14" s="327"/>
      <c r="Q14" s="327"/>
    </row>
    <row r="15" spans="2:99" x14ac:dyDescent="0.2">
      <c r="C15" s="328" t="s">
        <v>12</v>
      </c>
      <c r="D15" s="329"/>
      <c r="E15" s="329"/>
      <c r="F15" s="329"/>
      <c r="G15" s="329"/>
      <c r="H15" s="329"/>
      <c r="I15" s="329"/>
      <c r="J15" s="329"/>
      <c r="K15" s="329"/>
      <c r="L15" s="329"/>
      <c r="M15" s="329"/>
      <c r="N15" s="329"/>
      <c r="O15" s="329"/>
      <c r="P15" s="329"/>
      <c r="Q15" s="329"/>
    </row>
    <row r="16" spans="2:99" x14ac:dyDescent="0.2">
      <c r="C16" s="329"/>
      <c r="D16" s="329"/>
      <c r="E16" s="329"/>
      <c r="F16" s="329"/>
      <c r="G16" s="329"/>
      <c r="H16" s="329"/>
      <c r="I16" s="329"/>
      <c r="J16" s="329"/>
      <c r="K16" s="329"/>
      <c r="L16" s="329"/>
      <c r="M16" s="329"/>
      <c r="N16" s="329"/>
      <c r="O16" s="329"/>
      <c r="P16" s="329"/>
      <c r="Q16" s="329"/>
      <c r="CS16" s="24">
        <f>+(257901+8807)-SUM(CP16:CR16)</f>
        <v>266708</v>
      </c>
    </row>
    <row r="17" spans="3:97" x14ac:dyDescent="0.2">
      <c r="C17" s="329"/>
      <c r="D17" s="329"/>
      <c r="E17" s="329"/>
      <c r="F17" s="329"/>
      <c r="G17" s="329"/>
      <c r="H17" s="329"/>
      <c r="I17" s="329"/>
      <c r="J17" s="329"/>
      <c r="K17" s="329"/>
      <c r="L17" s="329"/>
      <c r="M17" s="329"/>
      <c r="N17" s="329"/>
      <c r="O17" s="329"/>
      <c r="P17" s="329"/>
      <c r="Q17" s="329"/>
      <c r="CS17" s="24">
        <f>+(524788+11152)-SUM(CP17:CR17)</f>
        <v>535940</v>
      </c>
    </row>
    <row r="18" spans="3:97" x14ac:dyDescent="0.2">
      <c r="C18" s="329"/>
      <c r="D18" s="329"/>
      <c r="E18" s="329"/>
      <c r="F18" s="329"/>
      <c r="G18" s="329"/>
      <c r="H18" s="329"/>
      <c r="I18" s="329"/>
      <c r="J18" s="329"/>
      <c r="K18" s="329"/>
      <c r="L18" s="329"/>
      <c r="M18" s="329"/>
      <c r="N18" s="329"/>
      <c r="O18" s="329"/>
      <c r="P18" s="329"/>
      <c r="Q18" s="329"/>
    </row>
    <row r="19" spans="3:97" x14ac:dyDescent="0.2">
      <c r="C19" s="329"/>
      <c r="D19" s="329"/>
      <c r="E19" s="329"/>
      <c r="F19" s="329"/>
      <c r="G19" s="329"/>
      <c r="H19" s="329"/>
      <c r="I19" s="329"/>
      <c r="J19" s="329"/>
      <c r="K19" s="329"/>
      <c r="L19" s="329"/>
      <c r="M19" s="329"/>
      <c r="N19" s="329"/>
      <c r="O19" s="329"/>
      <c r="P19" s="329"/>
      <c r="Q19" s="329"/>
    </row>
    <row r="20" spans="3:97" x14ac:dyDescent="0.2">
      <c r="C20" s="329"/>
      <c r="D20" s="329"/>
      <c r="E20" s="329"/>
      <c r="F20" s="329"/>
      <c r="G20" s="329"/>
      <c r="H20" s="329"/>
      <c r="I20" s="329"/>
      <c r="J20" s="329"/>
      <c r="K20" s="329"/>
      <c r="L20" s="329"/>
      <c r="M20" s="329"/>
      <c r="N20" s="329"/>
      <c r="O20" s="329"/>
      <c r="P20" s="329"/>
      <c r="Q20" s="329"/>
    </row>
    <row r="21" spans="3:97" x14ac:dyDescent="0.2">
      <c r="C21" s="329"/>
      <c r="D21" s="329"/>
      <c r="E21" s="329"/>
      <c r="F21" s="329"/>
      <c r="G21" s="329"/>
      <c r="H21" s="329"/>
      <c r="I21" s="329"/>
      <c r="J21" s="329"/>
      <c r="K21" s="329"/>
      <c r="L21" s="329"/>
      <c r="M21" s="329"/>
      <c r="N21" s="329"/>
      <c r="O21" s="329"/>
      <c r="P21" s="329"/>
      <c r="Q21" s="329"/>
    </row>
    <row r="22" spans="3:97" x14ac:dyDescent="0.2">
      <c r="C22" s="329"/>
      <c r="D22" s="329"/>
      <c r="E22" s="329"/>
      <c r="F22" s="329"/>
      <c r="G22" s="329"/>
      <c r="H22" s="329"/>
      <c r="I22" s="329"/>
      <c r="J22" s="329"/>
      <c r="K22" s="329"/>
      <c r="L22" s="329"/>
      <c r="M22" s="329"/>
      <c r="N22" s="329"/>
      <c r="O22" s="329"/>
      <c r="P22" s="329"/>
      <c r="Q22" s="329"/>
      <c r="T22" s="25" t="s">
        <v>13</v>
      </c>
      <c r="U22" s="26" t="s">
        <v>14</v>
      </c>
    </row>
    <row r="23" spans="3:97" x14ac:dyDescent="0.2">
      <c r="C23" s="329"/>
      <c r="D23" s="329"/>
      <c r="E23" s="329"/>
      <c r="F23" s="329"/>
      <c r="G23" s="329"/>
      <c r="H23" s="329"/>
      <c r="I23" s="329"/>
      <c r="J23" s="329"/>
      <c r="K23" s="329"/>
      <c r="L23" s="329"/>
      <c r="M23" s="329"/>
      <c r="N23" s="329"/>
      <c r="O23" s="329"/>
      <c r="P23" s="329"/>
      <c r="Q23" s="329"/>
    </row>
    <row r="24" spans="3:97" x14ac:dyDescent="0.2">
      <c r="C24" s="329"/>
      <c r="D24" s="329"/>
      <c r="E24" s="329"/>
      <c r="F24" s="329"/>
      <c r="G24" s="329"/>
      <c r="H24" s="329"/>
      <c r="I24" s="329"/>
      <c r="J24" s="329"/>
      <c r="K24" s="329"/>
      <c r="L24" s="329"/>
      <c r="M24" s="329"/>
      <c r="N24" s="329"/>
      <c r="O24" s="329"/>
      <c r="P24" s="329"/>
      <c r="Q24" s="329"/>
    </row>
    <row r="25" spans="3:97" ht="14.25" customHeight="1" x14ac:dyDescent="0.2">
      <c r="C25" s="329"/>
      <c r="D25" s="329"/>
      <c r="E25" s="329"/>
      <c r="F25" s="329"/>
      <c r="G25" s="329"/>
      <c r="H25" s="329"/>
      <c r="I25" s="329"/>
      <c r="J25" s="329"/>
      <c r="K25" s="329"/>
      <c r="L25" s="329"/>
      <c r="M25" s="329"/>
      <c r="N25" s="329"/>
      <c r="O25" s="329"/>
      <c r="P25" s="329"/>
      <c r="Q25" s="329"/>
      <c r="CO25" s="8" t="e">
        <f>+CO31/CO16*1000</f>
        <v>#DIV/0!</v>
      </c>
      <c r="CS25" s="8">
        <f>+CS31/CS16*1000</f>
        <v>0</v>
      </c>
    </row>
    <row r="26" spans="3:97" ht="14.25" customHeight="1" x14ac:dyDescent="0.2">
      <c r="C26" s="23"/>
      <c r="D26" s="23"/>
      <c r="E26" s="23"/>
      <c r="F26" s="23"/>
      <c r="G26" s="23"/>
      <c r="H26" s="23"/>
      <c r="I26" s="23"/>
      <c r="J26" s="23"/>
      <c r="K26" s="23"/>
      <c r="L26" s="23"/>
      <c r="M26" s="23"/>
      <c r="N26" s="23"/>
      <c r="O26" s="23"/>
      <c r="P26" s="23"/>
      <c r="Q26" s="23"/>
      <c r="CO26" s="8" t="e">
        <f>+CO32/CO17*1000</f>
        <v>#DIV/0!</v>
      </c>
      <c r="CS26" s="8">
        <f>+CS32/CS17*1000</f>
        <v>0</v>
      </c>
    </row>
    <row r="27" spans="3:97" x14ac:dyDescent="0.2">
      <c r="C27" s="330" t="s">
        <v>15</v>
      </c>
      <c r="D27" s="330"/>
      <c r="E27" s="330"/>
      <c r="F27" s="330"/>
      <c r="G27" s="330"/>
      <c r="H27" s="330"/>
      <c r="I27" s="330"/>
      <c r="J27" s="331"/>
      <c r="K27" s="331"/>
      <c r="L27" s="331"/>
      <c r="M27" s="331"/>
      <c r="N27" s="331"/>
      <c r="O27" s="331"/>
      <c r="P27" s="331"/>
      <c r="Q27" s="331"/>
    </row>
    <row r="28" spans="3:97" x14ac:dyDescent="0.2">
      <c r="C28" s="332" t="s">
        <v>16</v>
      </c>
      <c r="D28" s="333"/>
      <c r="E28" s="333"/>
      <c r="F28" s="333"/>
      <c r="G28" s="333"/>
      <c r="H28" s="333"/>
      <c r="I28" s="333"/>
      <c r="J28" s="333"/>
      <c r="K28" s="333"/>
      <c r="L28" s="333"/>
      <c r="M28" s="333"/>
      <c r="N28" s="333"/>
      <c r="O28" s="333"/>
      <c r="P28" s="333"/>
      <c r="Q28" s="333"/>
      <c r="CL28" s="8">
        <v>0.45300000000000001</v>
      </c>
      <c r="CM28" s="8">
        <v>0.6</v>
      </c>
      <c r="CN28" s="8">
        <v>0.8</v>
      </c>
      <c r="CO28" s="8" t="e">
        <f>+CO25/CN25-1</f>
        <v>#DIV/0!</v>
      </c>
      <c r="CP28" s="8">
        <v>-0.56899999999999995</v>
      </c>
      <c r="CQ28" s="8">
        <v>-0.36</v>
      </c>
      <c r="CR28" s="8">
        <v>-0.15</v>
      </c>
      <c r="CS28" s="8" t="e">
        <f>+CS25/CR25-1</f>
        <v>#DIV/0!</v>
      </c>
    </row>
    <row r="29" spans="3:97" x14ac:dyDescent="0.2">
      <c r="C29" s="333"/>
      <c r="D29" s="333"/>
      <c r="E29" s="333"/>
      <c r="F29" s="333"/>
      <c r="G29" s="333"/>
      <c r="H29" s="333"/>
      <c r="I29" s="333"/>
      <c r="J29" s="333"/>
      <c r="K29" s="333"/>
      <c r="L29" s="333"/>
      <c r="M29" s="333"/>
      <c r="N29" s="333"/>
      <c r="O29" s="333"/>
      <c r="P29" s="333"/>
      <c r="Q29" s="333"/>
      <c r="CL29" s="8">
        <v>0.122</v>
      </c>
      <c r="CM29" s="8">
        <v>0.5</v>
      </c>
      <c r="CN29" s="8">
        <v>0.44</v>
      </c>
      <c r="CO29" s="8" t="e">
        <f>+CO26/CN26-1</f>
        <v>#DIV/0!</v>
      </c>
      <c r="CP29" s="8">
        <v>-0.26600000000000001</v>
      </c>
      <c r="CQ29" s="8">
        <v>-0.2</v>
      </c>
      <c r="CR29" s="8">
        <v>-0.1</v>
      </c>
      <c r="CS29" s="28" t="e">
        <f>+CS26/CR26-1</f>
        <v>#DIV/0!</v>
      </c>
    </row>
    <row r="30" spans="3:97" x14ac:dyDescent="0.2">
      <c r="C30" s="333"/>
      <c r="D30" s="333"/>
      <c r="E30" s="333"/>
      <c r="F30" s="333"/>
      <c r="G30" s="333"/>
      <c r="H30" s="333"/>
      <c r="I30" s="333"/>
      <c r="J30" s="333"/>
      <c r="K30" s="333"/>
      <c r="L30" s="333"/>
      <c r="M30" s="333"/>
      <c r="N30" s="333"/>
      <c r="O30" s="333"/>
      <c r="P30" s="333"/>
      <c r="Q30" s="333"/>
    </row>
    <row r="31" spans="3:97" x14ac:dyDescent="0.2">
      <c r="C31" s="333"/>
      <c r="D31" s="333"/>
      <c r="E31" s="333"/>
      <c r="F31" s="333"/>
      <c r="G31" s="333"/>
      <c r="H31" s="333"/>
      <c r="I31" s="333"/>
      <c r="J31" s="333"/>
      <c r="K31" s="333"/>
      <c r="L31" s="333"/>
      <c r="M31" s="333"/>
      <c r="N31" s="333"/>
      <c r="O31" s="333"/>
      <c r="P31" s="333"/>
      <c r="Q31" s="333"/>
    </row>
    <row r="32" spans="3:97" x14ac:dyDescent="0.2">
      <c r="C32" s="333"/>
      <c r="D32" s="333"/>
      <c r="E32" s="333"/>
      <c r="F32" s="333"/>
      <c r="G32" s="333"/>
      <c r="H32" s="333"/>
      <c r="I32" s="333"/>
      <c r="J32" s="333"/>
      <c r="K32" s="333"/>
      <c r="L32" s="333"/>
      <c r="M32" s="333"/>
      <c r="N32" s="333"/>
      <c r="O32" s="333"/>
      <c r="P32" s="333"/>
      <c r="Q32" s="333"/>
    </row>
    <row r="33" spans="3:17" x14ac:dyDescent="0.2">
      <c r="C33" s="333"/>
      <c r="D33" s="333"/>
      <c r="E33" s="333"/>
      <c r="F33" s="333"/>
      <c r="G33" s="333"/>
      <c r="H33" s="333"/>
      <c r="I33" s="333"/>
      <c r="J33" s="333"/>
      <c r="K33" s="333"/>
      <c r="L33" s="333"/>
      <c r="M33" s="333"/>
      <c r="N33" s="333"/>
      <c r="O33" s="333"/>
      <c r="P33" s="333"/>
      <c r="Q33" s="333"/>
    </row>
    <row r="34" spans="3:17" x14ac:dyDescent="0.2">
      <c r="C34" s="333"/>
      <c r="D34" s="333"/>
      <c r="E34" s="333"/>
      <c r="F34" s="333"/>
      <c r="G34" s="333"/>
      <c r="H34" s="333"/>
      <c r="I34" s="333"/>
      <c r="J34" s="333"/>
      <c r="K34" s="333"/>
      <c r="L34" s="333"/>
      <c r="M34" s="333"/>
      <c r="N34" s="333"/>
      <c r="O34" s="333"/>
      <c r="P34" s="333"/>
      <c r="Q34" s="333"/>
    </row>
    <row r="35" spans="3:17" x14ac:dyDescent="0.2">
      <c r="C35" s="333"/>
      <c r="D35" s="333"/>
      <c r="E35" s="333"/>
      <c r="F35" s="333"/>
      <c r="G35" s="333"/>
      <c r="H35" s="333"/>
      <c r="I35" s="333"/>
      <c r="J35" s="333"/>
      <c r="K35" s="333"/>
      <c r="L35" s="333"/>
      <c r="M35" s="333"/>
      <c r="N35" s="333"/>
      <c r="O35" s="333"/>
      <c r="P35" s="333"/>
      <c r="Q35" s="333"/>
    </row>
    <row r="36" spans="3:17" x14ac:dyDescent="0.2">
      <c r="C36" s="333"/>
      <c r="D36" s="333"/>
      <c r="E36" s="333"/>
      <c r="F36" s="333"/>
      <c r="G36" s="333"/>
      <c r="H36" s="333"/>
      <c r="I36" s="333"/>
      <c r="J36" s="333"/>
      <c r="K36" s="333"/>
      <c r="L36" s="333"/>
      <c r="M36" s="333"/>
      <c r="N36" s="333"/>
      <c r="O36" s="333"/>
      <c r="P36" s="333"/>
      <c r="Q36" s="333"/>
    </row>
    <row r="37" spans="3:17" x14ac:dyDescent="0.2">
      <c r="C37" s="327"/>
      <c r="D37" s="327"/>
      <c r="E37" s="327"/>
      <c r="F37" s="327"/>
      <c r="G37" s="327"/>
      <c r="H37" s="327"/>
      <c r="I37" s="327"/>
      <c r="J37" s="327"/>
      <c r="K37" s="327"/>
      <c r="L37" s="327"/>
      <c r="M37" s="327"/>
      <c r="N37" s="327"/>
      <c r="O37" s="327"/>
      <c r="P37" s="327"/>
      <c r="Q37" s="327"/>
    </row>
    <row r="38" spans="3:17" x14ac:dyDescent="0.2">
      <c r="C38" s="327"/>
      <c r="D38" s="327"/>
      <c r="E38" s="327"/>
      <c r="F38" s="327"/>
      <c r="G38" s="327"/>
      <c r="H38" s="327"/>
      <c r="I38" s="327"/>
      <c r="J38" s="327"/>
      <c r="K38" s="327"/>
      <c r="L38" s="327"/>
      <c r="M38" s="327"/>
      <c r="N38" s="327"/>
      <c r="O38" s="327"/>
      <c r="P38" s="327"/>
      <c r="Q38" s="327"/>
    </row>
    <row r="39" spans="3:17" x14ac:dyDescent="0.2">
      <c r="C39" s="327"/>
      <c r="D39" s="327"/>
      <c r="E39" s="327"/>
      <c r="F39" s="327"/>
      <c r="G39" s="327"/>
      <c r="H39" s="327"/>
      <c r="I39" s="327"/>
      <c r="J39" s="327"/>
      <c r="K39" s="327"/>
      <c r="L39" s="327"/>
      <c r="M39" s="327"/>
      <c r="N39" s="327"/>
      <c r="O39" s="327"/>
      <c r="P39" s="327"/>
      <c r="Q39" s="327"/>
    </row>
    <row r="40" spans="3:17" x14ac:dyDescent="0.2">
      <c r="C40" s="327"/>
      <c r="D40" s="327"/>
      <c r="E40" s="327"/>
      <c r="F40" s="327"/>
      <c r="G40" s="327"/>
      <c r="H40" s="327"/>
      <c r="I40" s="327"/>
      <c r="J40" s="327"/>
      <c r="K40" s="327"/>
      <c r="L40" s="327"/>
      <c r="M40" s="327"/>
      <c r="N40" s="327"/>
      <c r="O40" s="327"/>
      <c r="P40" s="327"/>
      <c r="Q40" s="327"/>
    </row>
    <row r="41" spans="3:17" x14ac:dyDescent="0.2">
      <c r="C41" s="327"/>
      <c r="D41" s="327"/>
      <c r="E41" s="327"/>
      <c r="F41" s="327"/>
      <c r="G41" s="327"/>
      <c r="H41" s="327"/>
      <c r="I41" s="327"/>
      <c r="J41" s="327"/>
      <c r="K41" s="327"/>
      <c r="L41" s="327"/>
      <c r="M41" s="327"/>
      <c r="N41" s="327"/>
      <c r="O41" s="327"/>
      <c r="P41" s="327"/>
      <c r="Q41" s="327"/>
    </row>
    <row r="42" spans="3:17" x14ac:dyDescent="0.2">
      <c r="C42" s="327"/>
      <c r="D42" s="327"/>
      <c r="E42" s="327"/>
      <c r="F42" s="327"/>
      <c r="G42" s="327"/>
      <c r="H42" s="327"/>
      <c r="I42" s="327"/>
      <c r="J42" s="327"/>
      <c r="K42" s="327"/>
      <c r="L42" s="327"/>
      <c r="M42" s="327"/>
      <c r="N42" s="327"/>
      <c r="O42" s="327"/>
      <c r="P42" s="327"/>
      <c r="Q42" s="327"/>
    </row>
    <row r="43" spans="3:17" x14ac:dyDescent="0.2"/>
    <row r="44" spans="3:17" x14ac:dyDescent="0.2"/>
    <row r="69" spans="3:14" ht="12.75" hidden="1" customHeight="1" x14ac:dyDescent="0.2">
      <c r="C69" s="27"/>
      <c r="D69" s="27"/>
      <c r="E69" s="27"/>
      <c r="F69" s="27"/>
      <c r="G69" s="27"/>
      <c r="H69" s="27"/>
      <c r="I69" s="27"/>
      <c r="J69" s="27"/>
      <c r="K69" s="27"/>
      <c r="L69" s="27"/>
      <c r="M69" s="27"/>
      <c r="N69" s="27"/>
    </row>
    <row r="70" spans="3:14" ht="12.75" hidden="1" customHeight="1" x14ac:dyDescent="0.2">
      <c r="C70" s="22"/>
      <c r="D70" s="22"/>
      <c r="E70" s="22"/>
      <c r="F70" s="22"/>
      <c r="G70" s="22"/>
      <c r="H70" s="22"/>
      <c r="I70" s="22"/>
      <c r="J70" s="22"/>
      <c r="K70" s="22"/>
      <c r="L70" s="22"/>
      <c r="M70" s="22"/>
      <c r="N70" s="22"/>
    </row>
    <row r="71" spans="3:14" ht="12.75" hidden="1" customHeight="1" x14ac:dyDescent="0.2">
      <c r="C71" s="22"/>
      <c r="D71" s="22"/>
      <c r="E71" s="22"/>
      <c r="F71" s="22"/>
      <c r="G71" s="22"/>
      <c r="H71" s="22"/>
      <c r="I71" s="22"/>
      <c r="J71" s="22"/>
      <c r="K71" s="22"/>
      <c r="L71" s="22"/>
      <c r="M71" s="22"/>
      <c r="N71" s="22"/>
    </row>
    <row r="72" spans="3:14" ht="12.75" hidden="1" customHeight="1" x14ac:dyDescent="0.2">
      <c r="C72" s="22"/>
      <c r="D72" s="22"/>
      <c r="E72" s="22"/>
      <c r="F72" s="22"/>
      <c r="G72" s="22"/>
      <c r="H72" s="22"/>
      <c r="I72" s="22"/>
      <c r="J72" s="22"/>
      <c r="K72" s="22"/>
      <c r="L72" s="22"/>
      <c r="M72" s="22"/>
      <c r="N72" s="22"/>
    </row>
    <row r="158" spans="17:17" ht="12.75" hidden="1" customHeight="1" x14ac:dyDescent="0.2">
      <c r="Q158" s="8">
        <v>345.5</v>
      </c>
    </row>
    <row r="159" spans="17:17" ht="12.75" customHeight="1" x14ac:dyDescent="0.2"/>
    <row r="169" spans="4:4" ht="12.75" hidden="1" customHeight="1" x14ac:dyDescent="0.2">
      <c r="D169" s="8">
        <v>8.0500000000000007</v>
      </c>
    </row>
    <row r="178" spans="16:17" ht="12.75" hidden="1" customHeight="1" x14ac:dyDescent="0.2">
      <c r="P178" s="8">
        <v>0.4</v>
      </c>
      <c r="Q178" s="8">
        <v>1.26</v>
      </c>
    </row>
  </sheetData>
  <mergeCells count="4">
    <mergeCell ref="C14:Q14"/>
    <mergeCell ref="C15:Q25"/>
    <mergeCell ref="C27:Q27"/>
    <mergeCell ref="C28:Q42"/>
  </mergeCells>
  <dataValidations count="2">
    <dataValidation type="list" allowBlank="1" showInputMessage="1" showErrorMessage="1" sqref="D12" xr:uid="{00264F22-3986-46D0-9045-C9686627F0C8}">
      <formula1>$J$12:$J$13</formula1>
    </dataValidation>
    <dataValidation type="list" allowBlank="1" showInputMessage="1" showErrorMessage="1" sqref="D13" xr:uid="{53A6B636-9CD1-4676-AF2C-5D3AB4530413}">
      <formula1>$I$10:$I$13</formula1>
    </dataValidation>
  </dataValidations>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75CE-F41D-480D-81A4-62D190129BEF}">
  <dimension ref="B1:M55"/>
  <sheetViews>
    <sheetView zoomScale="90" zoomScaleNormal="90" workbookViewId="0"/>
  </sheetViews>
  <sheetFormatPr defaultColWidth="8" defaultRowHeight="11.25" x14ac:dyDescent="0.2"/>
  <cols>
    <col min="1" max="1" width="3.140625" style="53" customWidth="1"/>
    <col min="2" max="2" width="8" style="53"/>
    <col min="3" max="3" width="41.28515625" style="53" customWidth="1"/>
    <col min="4" max="4" width="3.5703125" style="53" customWidth="1"/>
    <col min="5" max="5" width="43.7109375" style="53" bestFit="1" customWidth="1"/>
    <col min="6" max="6" width="3.5703125" style="53" customWidth="1"/>
    <col min="7" max="7" width="43.7109375" style="53" bestFit="1" customWidth="1"/>
    <col min="8" max="8" width="3.5703125" style="53" customWidth="1"/>
    <col min="9" max="9" width="43.7109375" style="53" bestFit="1" customWidth="1"/>
    <col min="10" max="10" width="3.5703125" style="53" customWidth="1"/>
    <col min="11" max="11" width="43.7109375" style="53" bestFit="1" customWidth="1"/>
    <col min="12" max="12" width="3.5703125" style="53" customWidth="1"/>
    <col min="13" max="13" width="43.7109375" style="53" bestFit="1" customWidth="1"/>
    <col min="14" max="16384" width="8" style="53"/>
  </cols>
  <sheetData>
    <row r="1" spans="2:13" ht="12" thickBot="1" x14ac:dyDescent="0.25"/>
    <row r="2" spans="2:13" ht="37.5" customHeight="1" thickBot="1" x14ac:dyDescent="0.25">
      <c r="B2" s="241" t="s">
        <v>422</v>
      </c>
      <c r="C2" s="248" t="s">
        <v>22</v>
      </c>
      <c r="E2" s="248" t="s">
        <v>23</v>
      </c>
      <c r="G2" s="248" t="s">
        <v>387</v>
      </c>
      <c r="I2" s="248" t="s">
        <v>421</v>
      </c>
      <c r="K2" s="248" t="s">
        <v>420</v>
      </c>
      <c r="M2" s="248" t="s">
        <v>419</v>
      </c>
    </row>
    <row r="3" spans="2:13" ht="15.75" x14ac:dyDescent="0.2">
      <c r="B3" s="241">
        <v>48</v>
      </c>
      <c r="C3" s="334" t="s">
        <v>418</v>
      </c>
      <c r="E3" s="334" t="s">
        <v>418</v>
      </c>
      <c r="G3" s="334" t="s">
        <v>418</v>
      </c>
      <c r="I3" s="334" t="s">
        <v>418</v>
      </c>
      <c r="K3" s="334" t="s">
        <v>418</v>
      </c>
      <c r="M3" s="247" t="s">
        <v>418</v>
      </c>
    </row>
    <row r="4" spans="2:13" ht="15.75" x14ac:dyDescent="0.2">
      <c r="B4" s="241">
        <v>47</v>
      </c>
      <c r="C4" s="335"/>
      <c r="E4" s="335"/>
      <c r="G4" s="335"/>
      <c r="I4" s="335"/>
      <c r="K4" s="335"/>
      <c r="M4" s="239"/>
    </row>
    <row r="5" spans="2:13" ht="15.75" x14ac:dyDescent="0.2">
      <c r="B5" s="241">
        <v>46</v>
      </c>
      <c r="C5" s="239"/>
      <c r="E5" s="239"/>
      <c r="G5" s="239"/>
      <c r="I5" s="239"/>
      <c r="K5" s="239"/>
      <c r="M5" s="239"/>
    </row>
    <row r="6" spans="2:13" ht="15.75" x14ac:dyDescent="0.2">
      <c r="B6" s="241">
        <v>45</v>
      </c>
      <c r="C6" s="239"/>
      <c r="E6" s="239"/>
      <c r="G6" s="239"/>
      <c r="I6" s="239"/>
      <c r="K6" s="239"/>
      <c r="M6" s="239"/>
    </row>
    <row r="7" spans="2:13" ht="15.75" x14ac:dyDescent="0.2">
      <c r="B7" s="241">
        <v>44</v>
      </c>
      <c r="C7" s="239"/>
      <c r="E7" s="239"/>
      <c r="G7" s="336" t="s">
        <v>408</v>
      </c>
      <c r="I7" s="336" t="s">
        <v>408</v>
      </c>
      <c r="K7" s="336" t="s">
        <v>408</v>
      </c>
      <c r="M7" s="239"/>
    </row>
    <row r="8" spans="2:13" ht="15.75" x14ac:dyDescent="0.2">
      <c r="B8" s="241">
        <v>43</v>
      </c>
      <c r="C8" s="239"/>
      <c r="E8" s="239"/>
      <c r="G8" s="337"/>
      <c r="I8" s="337"/>
      <c r="K8" s="337"/>
      <c r="M8" s="239"/>
    </row>
    <row r="9" spans="2:13" ht="15.75" x14ac:dyDescent="0.25">
      <c r="B9" s="241">
        <v>42</v>
      </c>
      <c r="C9" s="239"/>
      <c r="E9" s="242" t="s">
        <v>409</v>
      </c>
      <c r="G9" s="338"/>
      <c r="I9" s="338"/>
      <c r="K9" s="338"/>
      <c r="M9" s="242" t="s">
        <v>407</v>
      </c>
    </row>
    <row r="10" spans="2:13" ht="15.75" x14ac:dyDescent="0.25">
      <c r="B10" s="241">
        <v>41</v>
      </c>
      <c r="C10" s="242" t="s">
        <v>409</v>
      </c>
      <c r="E10" s="242" t="s">
        <v>409</v>
      </c>
      <c r="G10" s="336" t="s">
        <v>408</v>
      </c>
      <c r="I10" s="336" t="s">
        <v>408</v>
      </c>
      <c r="K10" s="336" t="s">
        <v>408</v>
      </c>
      <c r="M10" s="242" t="s">
        <v>407</v>
      </c>
    </row>
    <row r="11" spans="2:13" ht="15.75" x14ac:dyDescent="0.25">
      <c r="B11" s="241">
        <v>40</v>
      </c>
      <c r="C11" s="242" t="s">
        <v>409</v>
      </c>
      <c r="E11" s="242" t="s">
        <v>409</v>
      </c>
      <c r="G11" s="337"/>
      <c r="I11" s="337"/>
      <c r="K11" s="337"/>
      <c r="M11" s="243" t="s">
        <v>410</v>
      </c>
    </row>
    <row r="12" spans="2:13" ht="15.75" x14ac:dyDescent="0.25">
      <c r="B12" s="241">
        <v>39</v>
      </c>
      <c r="C12" s="242" t="s">
        <v>409</v>
      </c>
      <c r="E12" s="242" t="s">
        <v>409</v>
      </c>
      <c r="G12" s="338"/>
      <c r="I12" s="338"/>
      <c r="K12" s="338"/>
      <c r="M12" s="339" t="s">
        <v>411</v>
      </c>
    </row>
    <row r="13" spans="2:13" ht="15.75" x14ac:dyDescent="0.2">
      <c r="B13" s="241">
        <v>38</v>
      </c>
      <c r="C13" s="243" t="s">
        <v>410</v>
      </c>
      <c r="E13" s="243" t="s">
        <v>410</v>
      </c>
      <c r="G13" s="243" t="s">
        <v>410</v>
      </c>
      <c r="I13" s="243" t="s">
        <v>410</v>
      </c>
      <c r="K13" s="243" t="s">
        <v>410</v>
      </c>
      <c r="M13" s="340"/>
    </row>
    <row r="14" spans="2:13" ht="15.75" customHeight="1" x14ac:dyDescent="0.25">
      <c r="B14" s="241">
        <v>37</v>
      </c>
      <c r="C14" s="245" t="s">
        <v>415</v>
      </c>
      <c r="E14" s="245" t="s">
        <v>414</v>
      </c>
      <c r="G14" s="245" t="s">
        <v>413</v>
      </c>
      <c r="I14" s="245" t="s">
        <v>413</v>
      </c>
      <c r="K14" s="245" t="s">
        <v>417</v>
      </c>
      <c r="M14" s="339" t="s">
        <v>411</v>
      </c>
    </row>
    <row r="15" spans="2:13" ht="15.75" x14ac:dyDescent="0.25">
      <c r="B15" s="241">
        <v>36</v>
      </c>
      <c r="C15" s="245" t="s">
        <v>415</v>
      </c>
      <c r="E15" s="245" t="s">
        <v>414</v>
      </c>
      <c r="G15" s="245" t="s">
        <v>413</v>
      </c>
      <c r="I15" s="245" t="s">
        <v>413</v>
      </c>
      <c r="K15" s="245" t="s">
        <v>417</v>
      </c>
      <c r="M15" s="340"/>
    </row>
    <row r="16" spans="2:13" ht="15.75" customHeight="1" x14ac:dyDescent="0.25">
      <c r="B16" s="241">
        <v>35</v>
      </c>
      <c r="C16" s="245" t="s">
        <v>415</v>
      </c>
      <c r="E16" s="245" t="s">
        <v>414</v>
      </c>
      <c r="G16" s="245" t="s">
        <v>413</v>
      </c>
      <c r="I16" s="245" t="s">
        <v>413</v>
      </c>
      <c r="K16" s="245" t="s">
        <v>417</v>
      </c>
      <c r="M16" s="339" t="s">
        <v>411</v>
      </c>
    </row>
    <row r="17" spans="2:13" ht="15.75" x14ac:dyDescent="0.25">
      <c r="B17" s="241">
        <v>34</v>
      </c>
      <c r="C17" s="245" t="s">
        <v>415</v>
      </c>
      <c r="E17" s="245" t="s">
        <v>414</v>
      </c>
      <c r="G17" s="245" t="s">
        <v>413</v>
      </c>
      <c r="I17" s="245" t="s">
        <v>413</v>
      </c>
      <c r="K17" s="245" t="s">
        <v>417</v>
      </c>
      <c r="M17" s="340"/>
    </row>
    <row r="18" spans="2:13" ht="15.75" customHeight="1" x14ac:dyDescent="0.25">
      <c r="B18" s="241">
        <v>33</v>
      </c>
      <c r="C18" s="245" t="s">
        <v>415</v>
      </c>
      <c r="E18" s="245" t="s">
        <v>414</v>
      </c>
      <c r="G18" s="245" t="s">
        <v>413</v>
      </c>
      <c r="I18" s="245" t="s">
        <v>413</v>
      </c>
      <c r="K18" s="245" t="s">
        <v>417</v>
      </c>
      <c r="M18" s="339" t="s">
        <v>411</v>
      </c>
    </row>
    <row r="19" spans="2:13" ht="15.75" x14ac:dyDescent="0.25">
      <c r="B19" s="241">
        <v>32</v>
      </c>
      <c r="C19" s="245" t="s">
        <v>415</v>
      </c>
      <c r="E19" s="245" t="s">
        <v>414</v>
      </c>
      <c r="G19" s="245" t="s">
        <v>413</v>
      </c>
      <c r="I19" s="245" t="s">
        <v>413</v>
      </c>
      <c r="K19" s="245" t="s">
        <v>417</v>
      </c>
      <c r="M19" s="340"/>
    </row>
    <row r="20" spans="2:13" ht="15.75" customHeight="1" x14ac:dyDescent="0.25">
      <c r="B20" s="241">
        <v>31</v>
      </c>
      <c r="C20" s="245" t="s">
        <v>415</v>
      </c>
      <c r="E20" s="245" t="s">
        <v>414</v>
      </c>
      <c r="G20" s="245" t="s">
        <v>413</v>
      </c>
      <c r="I20" s="245" t="s">
        <v>413</v>
      </c>
      <c r="K20" s="245" t="s">
        <v>417</v>
      </c>
      <c r="M20" s="339" t="s">
        <v>411</v>
      </c>
    </row>
    <row r="21" spans="2:13" ht="15.75" x14ac:dyDescent="0.25">
      <c r="B21" s="241">
        <v>30</v>
      </c>
      <c r="C21" s="245" t="s">
        <v>415</v>
      </c>
      <c r="E21" s="245" t="s">
        <v>414</v>
      </c>
      <c r="G21" s="245" t="s">
        <v>413</v>
      </c>
      <c r="I21" s="245" t="s">
        <v>413</v>
      </c>
      <c r="K21" s="245" t="s">
        <v>417</v>
      </c>
      <c r="M21" s="340"/>
    </row>
    <row r="22" spans="2:13" ht="15.75" customHeight="1" x14ac:dyDescent="0.25">
      <c r="B22" s="241">
        <v>29</v>
      </c>
      <c r="C22" s="245" t="s">
        <v>415</v>
      </c>
      <c r="E22" s="245" t="s">
        <v>414</v>
      </c>
      <c r="G22" s="245" t="s">
        <v>413</v>
      </c>
      <c r="I22" s="245" t="s">
        <v>413</v>
      </c>
      <c r="K22" s="245" t="s">
        <v>417</v>
      </c>
      <c r="M22" s="339" t="s">
        <v>411</v>
      </c>
    </row>
    <row r="23" spans="2:13" ht="15.75" x14ac:dyDescent="0.25">
      <c r="B23" s="241">
        <v>28</v>
      </c>
      <c r="C23" s="245" t="s">
        <v>415</v>
      </c>
      <c r="E23" s="245" t="s">
        <v>414</v>
      </c>
      <c r="G23" s="245" t="s">
        <v>413</v>
      </c>
      <c r="I23" s="245" t="s">
        <v>413</v>
      </c>
      <c r="K23" s="245" t="s">
        <v>417</v>
      </c>
      <c r="M23" s="340"/>
    </row>
    <row r="24" spans="2:13" ht="15.75" customHeight="1" x14ac:dyDescent="0.25">
      <c r="B24" s="241">
        <v>27</v>
      </c>
      <c r="C24" s="246" t="s">
        <v>416</v>
      </c>
      <c r="E24" s="246" t="s">
        <v>416</v>
      </c>
      <c r="G24" s="246" t="s">
        <v>416</v>
      </c>
      <c r="I24" s="246" t="s">
        <v>416</v>
      </c>
      <c r="K24" s="245" t="s">
        <v>417</v>
      </c>
      <c r="M24" s="339" t="s">
        <v>411</v>
      </c>
    </row>
    <row r="25" spans="2:13" ht="15.75" x14ac:dyDescent="0.25">
      <c r="B25" s="241">
        <v>26</v>
      </c>
      <c r="C25" s="246" t="s">
        <v>416</v>
      </c>
      <c r="E25" s="246" t="s">
        <v>416</v>
      </c>
      <c r="G25" s="246" t="s">
        <v>416</v>
      </c>
      <c r="I25" s="246" t="s">
        <v>416</v>
      </c>
      <c r="K25" s="245" t="s">
        <v>417</v>
      </c>
      <c r="M25" s="340"/>
    </row>
    <row r="26" spans="2:13" ht="15.75" customHeight="1" x14ac:dyDescent="0.25">
      <c r="B26" s="241">
        <v>25</v>
      </c>
      <c r="C26" s="246" t="s">
        <v>416</v>
      </c>
      <c r="E26" s="246" t="s">
        <v>416</v>
      </c>
      <c r="G26" s="246" t="s">
        <v>416</v>
      </c>
      <c r="I26" s="246" t="s">
        <v>416</v>
      </c>
      <c r="K26" s="245" t="s">
        <v>417</v>
      </c>
      <c r="M26" s="339" t="s">
        <v>411</v>
      </c>
    </row>
    <row r="27" spans="2:13" ht="15.75" x14ac:dyDescent="0.25">
      <c r="B27" s="241">
        <v>24</v>
      </c>
      <c r="C27" s="246" t="s">
        <v>416</v>
      </c>
      <c r="E27" s="246" t="s">
        <v>416</v>
      </c>
      <c r="G27" s="246" t="s">
        <v>416</v>
      </c>
      <c r="I27" s="246" t="s">
        <v>416</v>
      </c>
      <c r="K27" s="245" t="s">
        <v>417</v>
      </c>
      <c r="M27" s="340"/>
    </row>
    <row r="28" spans="2:13" ht="15.75" customHeight="1" x14ac:dyDescent="0.25">
      <c r="B28" s="241">
        <v>23</v>
      </c>
      <c r="C28" s="246" t="s">
        <v>416</v>
      </c>
      <c r="E28" s="246" t="s">
        <v>416</v>
      </c>
      <c r="G28" s="246" t="s">
        <v>416</v>
      </c>
      <c r="I28" s="246" t="s">
        <v>416</v>
      </c>
      <c r="K28" s="245" t="s">
        <v>417</v>
      </c>
      <c r="M28" s="339" t="s">
        <v>411</v>
      </c>
    </row>
    <row r="29" spans="2:13" ht="15.75" x14ac:dyDescent="0.25">
      <c r="B29" s="241">
        <v>22</v>
      </c>
      <c r="C29" s="246" t="s">
        <v>416</v>
      </c>
      <c r="E29" s="246" t="s">
        <v>416</v>
      </c>
      <c r="G29" s="246" t="s">
        <v>416</v>
      </c>
      <c r="I29" s="246" t="s">
        <v>416</v>
      </c>
      <c r="K29" s="245" t="s">
        <v>417</v>
      </c>
      <c r="M29" s="340"/>
    </row>
    <row r="30" spans="2:13" ht="15.75" customHeight="1" x14ac:dyDescent="0.25">
      <c r="B30" s="241">
        <v>21</v>
      </c>
      <c r="C30" s="246" t="s">
        <v>416</v>
      </c>
      <c r="E30" s="246" t="s">
        <v>416</v>
      </c>
      <c r="G30" s="246" t="s">
        <v>416</v>
      </c>
      <c r="I30" s="246" t="s">
        <v>416</v>
      </c>
      <c r="K30" s="245" t="s">
        <v>417</v>
      </c>
      <c r="M30" s="339" t="s">
        <v>411</v>
      </c>
    </row>
    <row r="31" spans="2:13" ht="15.75" x14ac:dyDescent="0.25">
      <c r="B31" s="241">
        <v>20</v>
      </c>
      <c r="C31" s="246" t="s">
        <v>416</v>
      </c>
      <c r="E31" s="246" t="s">
        <v>416</v>
      </c>
      <c r="G31" s="246" t="s">
        <v>416</v>
      </c>
      <c r="I31" s="246" t="s">
        <v>416</v>
      </c>
      <c r="K31" s="245" t="s">
        <v>417</v>
      </c>
      <c r="M31" s="340"/>
    </row>
    <row r="32" spans="2:13" ht="15.75" customHeight="1" x14ac:dyDescent="0.25">
      <c r="B32" s="241">
        <v>19</v>
      </c>
      <c r="C32" s="246" t="s">
        <v>416</v>
      </c>
      <c r="E32" s="246" t="s">
        <v>416</v>
      </c>
      <c r="G32" s="246" t="s">
        <v>416</v>
      </c>
      <c r="I32" s="246" t="s">
        <v>416</v>
      </c>
      <c r="K32" s="244" t="s">
        <v>412</v>
      </c>
      <c r="M32" s="339" t="s">
        <v>411</v>
      </c>
    </row>
    <row r="33" spans="2:13" ht="15.75" x14ac:dyDescent="0.25">
      <c r="B33" s="241">
        <v>18</v>
      </c>
      <c r="C33" s="245" t="s">
        <v>415</v>
      </c>
      <c r="E33" s="245" t="s">
        <v>414</v>
      </c>
      <c r="G33" s="245" t="s">
        <v>413</v>
      </c>
      <c r="I33" s="245" t="s">
        <v>413</v>
      </c>
      <c r="K33" s="239"/>
      <c r="M33" s="340"/>
    </row>
    <row r="34" spans="2:13" ht="15.75" customHeight="1" x14ac:dyDescent="0.25">
      <c r="B34" s="241">
        <v>17</v>
      </c>
      <c r="C34" s="245" t="s">
        <v>415</v>
      </c>
      <c r="E34" s="245" t="s">
        <v>414</v>
      </c>
      <c r="G34" s="245" t="s">
        <v>413</v>
      </c>
      <c r="I34" s="245" t="s">
        <v>413</v>
      </c>
      <c r="K34" s="239"/>
      <c r="M34" s="339" t="s">
        <v>411</v>
      </c>
    </row>
    <row r="35" spans="2:13" ht="15.75" x14ac:dyDescent="0.25">
      <c r="B35" s="241">
        <v>16</v>
      </c>
      <c r="C35" s="245" t="s">
        <v>415</v>
      </c>
      <c r="E35" s="245" t="s">
        <v>414</v>
      </c>
      <c r="G35" s="245" t="s">
        <v>413</v>
      </c>
      <c r="I35" s="245" t="s">
        <v>413</v>
      </c>
      <c r="K35" s="239"/>
      <c r="M35" s="340"/>
    </row>
    <row r="36" spans="2:13" ht="15.75" customHeight="1" x14ac:dyDescent="0.25">
      <c r="B36" s="241">
        <v>15</v>
      </c>
      <c r="C36" s="245" t="s">
        <v>415</v>
      </c>
      <c r="E36" s="245" t="s">
        <v>414</v>
      </c>
      <c r="G36" s="245" t="s">
        <v>413</v>
      </c>
      <c r="I36" s="245" t="s">
        <v>413</v>
      </c>
      <c r="K36" s="239"/>
      <c r="M36" s="339" t="s">
        <v>411</v>
      </c>
    </row>
    <row r="37" spans="2:13" ht="15.75" x14ac:dyDescent="0.25">
      <c r="B37" s="241">
        <v>14</v>
      </c>
      <c r="C37" s="245" t="s">
        <v>415</v>
      </c>
      <c r="E37" s="245" t="s">
        <v>414</v>
      </c>
      <c r="G37" s="245" t="s">
        <v>413</v>
      </c>
      <c r="I37" s="245" t="s">
        <v>413</v>
      </c>
      <c r="K37" s="239"/>
      <c r="M37" s="340"/>
    </row>
    <row r="38" spans="2:13" ht="15.75" customHeight="1" x14ac:dyDescent="0.25">
      <c r="B38" s="241">
        <v>13</v>
      </c>
      <c r="C38" s="245" t="s">
        <v>415</v>
      </c>
      <c r="E38" s="245" t="s">
        <v>414</v>
      </c>
      <c r="G38" s="245" t="s">
        <v>413</v>
      </c>
      <c r="I38" s="245" t="s">
        <v>413</v>
      </c>
      <c r="K38" s="239"/>
      <c r="M38" s="339" t="s">
        <v>411</v>
      </c>
    </row>
    <row r="39" spans="2:13" ht="15.75" x14ac:dyDescent="0.25">
      <c r="B39" s="241">
        <v>12</v>
      </c>
      <c r="C39" s="245" t="s">
        <v>415</v>
      </c>
      <c r="E39" s="245" t="s">
        <v>414</v>
      </c>
      <c r="G39" s="245" t="s">
        <v>413</v>
      </c>
      <c r="I39" s="245" t="s">
        <v>413</v>
      </c>
      <c r="K39" s="239"/>
      <c r="M39" s="340"/>
    </row>
    <row r="40" spans="2:13" ht="15.75" customHeight="1" x14ac:dyDescent="0.25">
      <c r="B40" s="241">
        <v>11</v>
      </c>
      <c r="C40" s="245" t="s">
        <v>415</v>
      </c>
      <c r="E40" s="245" t="s">
        <v>414</v>
      </c>
      <c r="G40" s="245" t="s">
        <v>413</v>
      </c>
      <c r="I40" s="245" t="s">
        <v>413</v>
      </c>
      <c r="K40" s="239"/>
      <c r="M40" s="339" t="s">
        <v>411</v>
      </c>
    </row>
    <row r="41" spans="2:13" ht="15.75" x14ac:dyDescent="0.2">
      <c r="B41" s="241">
        <v>10</v>
      </c>
      <c r="C41" s="244" t="s">
        <v>412</v>
      </c>
      <c r="E41" s="244" t="s">
        <v>412</v>
      </c>
      <c r="G41" s="244" t="s">
        <v>412</v>
      </c>
      <c r="I41" s="244" t="s">
        <v>412</v>
      </c>
      <c r="K41" s="239"/>
      <c r="M41" s="340"/>
    </row>
    <row r="42" spans="2:13" ht="15.75" customHeight="1" x14ac:dyDescent="0.25">
      <c r="B42" s="241">
        <v>9</v>
      </c>
      <c r="C42" s="242" t="s">
        <v>409</v>
      </c>
      <c r="E42" s="242" t="s">
        <v>409</v>
      </c>
      <c r="G42" s="336" t="s">
        <v>408</v>
      </c>
      <c r="I42" s="336" t="s">
        <v>408</v>
      </c>
      <c r="K42" s="239"/>
      <c r="M42" s="339" t="s">
        <v>411</v>
      </c>
    </row>
    <row r="43" spans="2:13" ht="15.75" x14ac:dyDescent="0.25">
      <c r="B43" s="241">
        <v>8</v>
      </c>
      <c r="C43" s="242" t="s">
        <v>409</v>
      </c>
      <c r="E43" s="242" t="s">
        <v>409</v>
      </c>
      <c r="G43" s="337"/>
      <c r="I43" s="337"/>
      <c r="K43" s="239"/>
      <c r="M43" s="340"/>
    </row>
    <row r="44" spans="2:13" ht="15.75" customHeight="1" x14ac:dyDescent="0.25">
      <c r="B44" s="241">
        <v>7</v>
      </c>
      <c r="C44" s="242" t="s">
        <v>409</v>
      </c>
      <c r="E44" s="242" t="s">
        <v>409</v>
      </c>
      <c r="G44" s="338"/>
      <c r="I44" s="338"/>
      <c r="K44" s="239"/>
      <c r="M44" s="243" t="s">
        <v>410</v>
      </c>
    </row>
    <row r="45" spans="2:13" ht="15.75" x14ac:dyDescent="0.25">
      <c r="B45" s="241">
        <v>6</v>
      </c>
      <c r="C45" s="239"/>
      <c r="E45" s="242" t="s">
        <v>409</v>
      </c>
      <c r="G45" s="336" t="s">
        <v>408</v>
      </c>
      <c r="I45" s="336" t="s">
        <v>408</v>
      </c>
      <c r="K45" s="239"/>
      <c r="M45" s="242" t="s">
        <v>407</v>
      </c>
    </row>
    <row r="46" spans="2:13" ht="15.75" x14ac:dyDescent="0.25">
      <c r="B46" s="241">
        <v>5</v>
      </c>
      <c r="C46" s="239"/>
      <c r="E46" s="239"/>
      <c r="G46" s="337"/>
      <c r="I46" s="337"/>
      <c r="K46" s="239"/>
      <c r="M46" s="242" t="s">
        <v>407</v>
      </c>
    </row>
    <row r="47" spans="2:13" ht="15.75" x14ac:dyDescent="0.2">
      <c r="B47" s="241">
        <v>4</v>
      </c>
      <c r="C47" s="239"/>
      <c r="E47" s="239"/>
      <c r="G47" s="338"/>
      <c r="I47" s="338"/>
      <c r="K47" s="239"/>
      <c r="M47" s="239"/>
    </row>
    <row r="48" spans="2:13" ht="15.75" x14ac:dyDescent="0.2">
      <c r="B48" s="241">
        <v>3</v>
      </c>
      <c r="C48" s="239"/>
      <c r="E48" s="239"/>
      <c r="G48" s="239"/>
      <c r="I48" s="239"/>
      <c r="K48" s="239"/>
      <c r="M48" s="239"/>
    </row>
    <row r="49" spans="2:13" ht="15.75" x14ac:dyDescent="0.2">
      <c r="B49" s="241">
        <v>2</v>
      </c>
      <c r="C49" s="239"/>
      <c r="E49" s="239"/>
      <c r="G49" s="239"/>
      <c r="I49" s="239"/>
      <c r="K49" s="239"/>
      <c r="M49" s="239"/>
    </row>
    <row r="50" spans="2:13" ht="16.5" thickBot="1" x14ac:dyDescent="0.25">
      <c r="B50" s="241">
        <v>1</v>
      </c>
      <c r="C50" s="240"/>
      <c r="E50" s="239"/>
      <c r="G50" s="239"/>
      <c r="I50" s="239"/>
      <c r="K50" s="239"/>
      <c r="M50" s="239"/>
    </row>
    <row r="52" spans="2:13" x14ac:dyDescent="0.2">
      <c r="C52" s="238" t="s">
        <v>406</v>
      </c>
      <c r="E52" s="238" t="s">
        <v>406</v>
      </c>
      <c r="G52" s="238" t="s">
        <v>406</v>
      </c>
    </row>
    <row r="53" spans="2:13" x14ac:dyDescent="0.2">
      <c r="C53" s="197">
        <v>198</v>
      </c>
      <c r="E53" s="197">
        <v>264</v>
      </c>
      <c r="G53" s="197">
        <v>440</v>
      </c>
    </row>
    <row r="54" spans="2:13" x14ac:dyDescent="0.2">
      <c r="C54" s="238" t="s">
        <v>405</v>
      </c>
      <c r="E54" s="238" t="s">
        <v>405</v>
      </c>
      <c r="G54" s="238" t="s">
        <v>405</v>
      </c>
    </row>
    <row r="55" spans="2:13" x14ac:dyDescent="0.2">
      <c r="C55" s="154">
        <f>+'[6]NVL72 Power Budget'!E29/1000</f>
        <v>131.67359999999996</v>
      </c>
      <c r="E55" s="154">
        <f>+'[6]NVL72 Power Budget'!J29/1000</f>
        <v>146.3364</v>
      </c>
      <c r="G55" s="154">
        <f>+'[6]NVL72 Power Budget'!O29/1000</f>
        <v>233.51760000000002</v>
      </c>
    </row>
  </sheetData>
  <mergeCells count="31">
    <mergeCell ref="G42:G44"/>
    <mergeCell ref="I42:I44"/>
    <mergeCell ref="M42:M43"/>
    <mergeCell ref="G45:G47"/>
    <mergeCell ref="I45:I47"/>
    <mergeCell ref="M12:M13"/>
    <mergeCell ref="M14:M15"/>
    <mergeCell ref="M16:M17"/>
    <mergeCell ref="M40:M41"/>
    <mergeCell ref="M18:M19"/>
    <mergeCell ref="M20:M21"/>
    <mergeCell ref="M22:M23"/>
    <mergeCell ref="M24:M25"/>
    <mergeCell ref="M26:M27"/>
    <mergeCell ref="M28:M29"/>
    <mergeCell ref="M30:M31"/>
    <mergeCell ref="M32:M33"/>
    <mergeCell ref="M34:M35"/>
    <mergeCell ref="M36:M37"/>
    <mergeCell ref="M38:M39"/>
    <mergeCell ref="G7:G9"/>
    <mergeCell ref="I7:I9"/>
    <mergeCell ref="K7:K9"/>
    <mergeCell ref="G10:G12"/>
    <mergeCell ref="I10:I12"/>
    <mergeCell ref="K10:K12"/>
    <mergeCell ref="C3:C4"/>
    <mergeCell ref="E3:E4"/>
    <mergeCell ref="G3:G4"/>
    <mergeCell ref="I3:I4"/>
    <mergeCell ref="K3:K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D7353-8651-4AE5-BC07-36CF822C9890}">
  <dimension ref="B2:M65"/>
  <sheetViews>
    <sheetView zoomScaleNormal="100" workbookViewId="0"/>
  </sheetViews>
  <sheetFormatPr defaultRowHeight="11.25" outlineLevelCol="1" x14ac:dyDescent="0.25"/>
  <cols>
    <col min="1" max="1" width="9.140625" style="32"/>
    <col min="2" max="2" width="19.85546875" style="32" bestFit="1" customWidth="1"/>
    <col min="3" max="3" width="19.5703125" style="32" hidden="1" customWidth="1" outlineLevel="1"/>
    <col min="4" max="4" width="19.5703125" style="32" customWidth="1" collapsed="1"/>
    <col min="5" max="7" width="19.5703125" style="32" customWidth="1"/>
    <col min="8" max="9" width="19.5703125" style="32" hidden="1" customWidth="1" outlineLevel="1"/>
    <col min="10" max="10" width="19.5703125" style="32" customWidth="1" collapsed="1"/>
    <col min="11" max="13" width="19.5703125" style="32" customWidth="1"/>
    <col min="14" max="16384" width="9.140625" style="32"/>
  </cols>
  <sheetData>
    <row r="2" spans="2:13" ht="12" thickBot="1" x14ac:dyDescent="0.3">
      <c r="B2" s="34" t="s">
        <v>372</v>
      </c>
      <c r="C2" s="35">
        <v>2</v>
      </c>
      <c r="D2" s="35">
        <v>3</v>
      </c>
      <c r="E2" s="35">
        <v>4</v>
      </c>
      <c r="F2" s="35">
        <v>5</v>
      </c>
      <c r="G2" s="35">
        <v>6</v>
      </c>
      <c r="H2" s="35">
        <v>7</v>
      </c>
      <c r="I2" s="35">
        <v>8</v>
      </c>
      <c r="J2" s="35">
        <v>9</v>
      </c>
    </row>
    <row r="3" spans="2:13" ht="50.1" customHeight="1" thickBot="1" x14ac:dyDescent="0.3">
      <c r="B3" s="36" t="s">
        <v>17</v>
      </c>
      <c r="C3" s="37" t="s">
        <v>18</v>
      </c>
      <c r="D3" s="37" t="s">
        <v>19</v>
      </c>
      <c r="E3" s="37" t="s">
        <v>20</v>
      </c>
      <c r="F3" s="37" t="s">
        <v>21</v>
      </c>
      <c r="G3" s="37" t="s">
        <v>22</v>
      </c>
      <c r="H3" s="38" t="s">
        <v>138</v>
      </c>
      <c r="I3" s="39" t="s">
        <v>139</v>
      </c>
      <c r="J3" s="39" t="s">
        <v>140</v>
      </c>
      <c r="K3" s="37" t="s">
        <v>24</v>
      </c>
      <c r="L3" s="37" t="s">
        <v>25</v>
      </c>
      <c r="M3" s="37" t="s">
        <v>26</v>
      </c>
    </row>
    <row r="4" spans="2:13" ht="20.100000000000001" customHeight="1" thickBot="1" x14ac:dyDescent="0.3">
      <c r="B4" s="40" t="s">
        <v>77</v>
      </c>
      <c r="C4" s="41" t="s">
        <v>78</v>
      </c>
      <c r="D4" s="41" t="s">
        <v>79</v>
      </c>
      <c r="E4" s="41" t="s">
        <v>80</v>
      </c>
      <c r="F4" s="41" t="s">
        <v>81</v>
      </c>
      <c r="G4" s="41" t="s">
        <v>82</v>
      </c>
      <c r="H4" s="42" t="s">
        <v>81</v>
      </c>
      <c r="I4" s="41" t="s">
        <v>83</v>
      </c>
      <c r="J4" s="41" t="s">
        <v>83</v>
      </c>
      <c r="K4" s="41" t="s">
        <v>84</v>
      </c>
      <c r="L4" s="41" t="s">
        <v>85</v>
      </c>
      <c r="M4" s="41" t="s">
        <v>86</v>
      </c>
    </row>
    <row r="5" spans="2:13" ht="20.100000000000001" customHeight="1" thickBot="1" x14ac:dyDescent="0.3">
      <c r="B5" s="43" t="s">
        <v>32</v>
      </c>
      <c r="C5" s="44" t="s">
        <v>33</v>
      </c>
      <c r="D5" s="44" t="s">
        <v>33</v>
      </c>
      <c r="E5" s="44" t="s">
        <v>33</v>
      </c>
      <c r="F5" s="44" t="s">
        <v>33</v>
      </c>
      <c r="G5" s="44" t="s">
        <v>34</v>
      </c>
      <c r="H5" s="45" t="s">
        <v>33</v>
      </c>
      <c r="I5" s="44" t="s">
        <v>34</v>
      </c>
      <c r="J5" s="44" t="s">
        <v>34</v>
      </c>
      <c r="K5" s="44" t="s">
        <v>35</v>
      </c>
      <c r="L5" s="44" t="s">
        <v>35</v>
      </c>
      <c r="M5" s="44" t="s">
        <v>35</v>
      </c>
    </row>
    <row r="6" spans="2:13" ht="20.100000000000001" customHeight="1" thickBot="1" x14ac:dyDescent="0.3">
      <c r="B6" s="46" t="s">
        <v>87</v>
      </c>
      <c r="C6" s="47" t="s">
        <v>88</v>
      </c>
      <c r="D6" s="47" t="s">
        <v>88</v>
      </c>
      <c r="E6" s="47" t="s">
        <v>88</v>
      </c>
      <c r="F6" s="47" t="s">
        <v>89</v>
      </c>
      <c r="G6" s="47" t="s">
        <v>89</v>
      </c>
      <c r="H6" s="48" t="s">
        <v>88</v>
      </c>
      <c r="I6" s="47" t="s">
        <v>88</v>
      </c>
      <c r="J6" s="47" t="s">
        <v>89</v>
      </c>
      <c r="K6" s="47" t="s">
        <v>89</v>
      </c>
      <c r="L6" s="47" t="s">
        <v>89</v>
      </c>
      <c r="M6" s="47" t="s">
        <v>89</v>
      </c>
    </row>
    <row r="7" spans="2:13" ht="20.100000000000001" customHeight="1" thickBot="1" x14ac:dyDescent="0.3">
      <c r="B7" s="43" t="s">
        <v>27</v>
      </c>
      <c r="C7" s="44" t="s">
        <v>28</v>
      </c>
      <c r="D7" s="44" t="s">
        <v>28</v>
      </c>
      <c r="E7" s="44" t="s">
        <v>29</v>
      </c>
      <c r="F7" s="44" t="s">
        <v>29</v>
      </c>
      <c r="G7" s="44" t="s">
        <v>30</v>
      </c>
      <c r="H7" s="45" t="s">
        <v>29</v>
      </c>
      <c r="I7" s="44" t="s">
        <v>31</v>
      </c>
      <c r="J7" s="44" t="s">
        <v>30</v>
      </c>
      <c r="K7" s="44" t="s">
        <v>30</v>
      </c>
      <c r="L7" s="44" t="s">
        <v>30</v>
      </c>
      <c r="M7" s="44" t="s">
        <v>30</v>
      </c>
    </row>
    <row r="8" spans="2:13" ht="20.100000000000001" customHeight="1" thickBot="1" x14ac:dyDescent="0.3">
      <c r="B8" s="46" t="s">
        <v>51</v>
      </c>
      <c r="C8" s="47" t="s">
        <v>52</v>
      </c>
      <c r="D8" s="47" t="s">
        <v>53</v>
      </c>
      <c r="E8" s="47" t="s">
        <v>53</v>
      </c>
      <c r="F8" s="47" t="s">
        <v>54</v>
      </c>
      <c r="G8" s="47" t="s">
        <v>55</v>
      </c>
      <c r="H8" s="48" t="s">
        <v>56</v>
      </c>
      <c r="I8" s="47" t="s">
        <v>53</v>
      </c>
      <c r="J8" s="47" t="s">
        <v>57</v>
      </c>
      <c r="K8" s="47" t="s">
        <v>58</v>
      </c>
      <c r="L8" s="47" t="s">
        <v>59</v>
      </c>
      <c r="M8" s="47" t="s">
        <v>60</v>
      </c>
    </row>
    <row r="9" spans="2:13" ht="45" customHeight="1" thickBot="1" x14ac:dyDescent="0.3">
      <c r="B9" s="43" t="s">
        <v>36</v>
      </c>
      <c r="C9" s="49" t="s">
        <v>37</v>
      </c>
      <c r="D9" s="49" t="s">
        <v>37</v>
      </c>
      <c r="E9" s="49" t="s">
        <v>37</v>
      </c>
      <c r="F9" s="49" t="s">
        <v>37</v>
      </c>
      <c r="G9" s="49" t="s">
        <v>373</v>
      </c>
      <c r="H9" s="45" t="s">
        <v>38</v>
      </c>
      <c r="I9" s="49" t="s">
        <v>39</v>
      </c>
      <c r="J9" s="49" t="s">
        <v>373</v>
      </c>
      <c r="K9" s="49" t="s">
        <v>40</v>
      </c>
      <c r="L9" s="49" t="s">
        <v>40</v>
      </c>
      <c r="M9" s="49" t="s">
        <v>41</v>
      </c>
    </row>
    <row r="10" spans="2:13" ht="20.100000000000001" customHeight="1" thickBot="1" x14ac:dyDescent="0.3">
      <c r="B10" s="46" t="s">
        <v>42</v>
      </c>
      <c r="C10" s="47" t="s">
        <v>43</v>
      </c>
      <c r="D10" s="47" t="s">
        <v>44</v>
      </c>
      <c r="E10" s="47" t="s">
        <v>45</v>
      </c>
      <c r="F10" s="47" t="s">
        <v>46</v>
      </c>
      <c r="G10" s="47" t="s">
        <v>46</v>
      </c>
      <c r="H10" s="48" t="s">
        <v>47</v>
      </c>
      <c r="I10" s="47" t="s">
        <v>47</v>
      </c>
      <c r="J10" s="47" t="s">
        <v>374</v>
      </c>
      <c r="K10" s="47" t="s">
        <v>48</v>
      </c>
      <c r="L10" s="47" t="s">
        <v>49</v>
      </c>
      <c r="M10" s="47" t="s">
        <v>50</v>
      </c>
    </row>
    <row r="11" spans="2:13" ht="20.100000000000001" customHeight="1" thickBot="1" x14ac:dyDescent="0.3">
      <c r="B11" s="43" t="s">
        <v>91</v>
      </c>
      <c r="C11" s="44" t="s">
        <v>92</v>
      </c>
      <c r="D11" s="44" t="s">
        <v>92</v>
      </c>
      <c r="E11" s="44" t="s">
        <v>93</v>
      </c>
      <c r="F11" s="44" t="s">
        <v>94</v>
      </c>
      <c r="G11" s="44" t="s">
        <v>94</v>
      </c>
      <c r="H11" s="45" t="s">
        <v>94</v>
      </c>
      <c r="I11" s="44" t="s">
        <v>94</v>
      </c>
      <c r="J11" s="44" t="s">
        <v>94</v>
      </c>
      <c r="K11" s="44" t="s">
        <v>94</v>
      </c>
      <c r="L11" s="44" t="s">
        <v>94</v>
      </c>
      <c r="M11" s="44" t="s">
        <v>94</v>
      </c>
    </row>
    <row r="12" spans="2:13" ht="20.100000000000001" customHeight="1" thickBot="1" x14ac:dyDescent="0.3">
      <c r="B12" s="46" t="s">
        <v>61</v>
      </c>
      <c r="C12" s="47" t="s">
        <v>62</v>
      </c>
      <c r="D12" s="47" t="s">
        <v>63</v>
      </c>
      <c r="E12" s="47" t="s">
        <v>63</v>
      </c>
      <c r="F12" s="47" t="s">
        <v>64</v>
      </c>
      <c r="G12" s="47" t="s">
        <v>64</v>
      </c>
      <c r="H12" s="48" t="s">
        <v>64</v>
      </c>
      <c r="I12" s="47" t="s">
        <v>64</v>
      </c>
      <c r="J12" s="47" t="s">
        <v>64</v>
      </c>
      <c r="K12" s="47" t="s">
        <v>65</v>
      </c>
      <c r="L12" s="47" t="s">
        <v>65</v>
      </c>
      <c r="M12" s="47" t="s">
        <v>65</v>
      </c>
    </row>
    <row r="13" spans="2:13" ht="20.100000000000001" customHeight="1" thickBot="1" x14ac:dyDescent="0.3">
      <c r="B13" s="43" t="s">
        <v>66</v>
      </c>
      <c r="C13" s="44" t="s">
        <v>67</v>
      </c>
      <c r="D13" s="44" t="s">
        <v>68</v>
      </c>
      <c r="E13" s="44" t="s">
        <v>68</v>
      </c>
      <c r="F13" s="44" t="s">
        <v>68</v>
      </c>
      <c r="G13" s="44" t="s">
        <v>69</v>
      </c>
      <c r="H13" s="45" t="s">
        <v>68</v>
      </c>
      <c r="I13" s="44" t="s">
        <v>70</v>
      </c>
      <c r="J13" s="44" t="s">
        <v>69</v>
      </c>
      <c r="K13" s="44" t="s">
        <v>71</v>
      </c>
      <c r="L13" s="44" t="s">
        <v>71</v>
      </c>
      <c r="M13" s="44" t="s">
        <v>71</v>
      </c>
    </row>
    <row r="14" spans="2:13" ht="20.100000000000001" customHeight="1" thickBot="1" x14ac:dyDescent="0.3">
      <c r="B14" s="46" t="s">
        <v>72</v>
      </c>
      <c r="C14" s="47" t="s">
        <v>73</v>
      </c>
      <c r="D14" s="47" t="s">
        <v>74</v>
      </c>
      <c r="E14" s="47" t="s">
        <v>74</v>
      </c>
      <c r="F14" s="47" t="s">
        <v>74</v>
      </c>
      <c r="G14" s="47" t="s">
        <v>74</v>
      </c>
      <c r="H14" s="48" t="s">
        <v>74</v>
      </c>
      <c r="I14" s="47" t="s">
        <v>75</v>
      </c>
      <c r="J14" s="47" t="s">
        <v>75</v>
      </c>
      <c r="K14" s="47" t="s">
        <v>76</v>
      </c>
      <c r="L14" s="47" t="s">
        <v>76</v>
      </c>
      <c r="M14" s="47" t="s">
        <v>76</v>
      </c>
    </row>
    <row r="15" spans="2:13" ht="20.100000000000001" customHeight="1" x14ac:dyDescent="0.25">
      <c r="B15" s="50"/>
      <c r="C15" s="51"/>
      <c r="D15" s="51"/>
      <c r="E15" s="51"/>
      <c r="F15" s="51"/>
      <c r="G15" s="51"/>
      <c r="H15" s="52"/>
      <c r="I15" s="51"/>
      <c r="J15" s="51"/>
    </row>
    <row r="16" spans="2:13" ht="20.100000000000001" customHeight="1" x14ac:dyDescent="0.25">
      <c r="B16" s="34" t="s">
        <v>141</v>
      </c>
      <c r="C16" s="51"/>
      <c r="D16" s="51"/>
      <c r="E16" s="51"/>
      <c r="F16" s="51"/>
      <c r="G16" s="51"/>
      <c r="H16" s="52"/>
      <c r="I16" s="51"/>
      <c r="J16" s="51"/>
    </row>
    <row r="17" spans="2:13" ht="45" x14ac:dyDescent="0.25">
      <c r="B17" s="29" t="s">
        <v>17</v>
      </c>
      <c r="C17" s="30" t="s">
        <v>18</v>
      </c>
      <c r="D17" s="30" t="s">
        <v>19</v>
      </c>
      <c r="E17" s="30" t="s">
        <v>20</v>
      </c>
      <c r="F17" s="30" t="s">
        <v>21</v>
      </c>
      <c r="G17" s="30" t="s">
        <v>22</v>
      </c>
      <c r="H17" s="31" t="s">
        <v>138</v>
      </c>
      <c r="I17" s="31" t="s">
        <v>139</v>
      </c>
      <c r="J17" s="31" t="s">
        <v>140</v>
      </c>
      <c r="K17" s="31" t="s">
        <v>24</v>
      </c>
      <c r="L17" s="31" t="s">
        <v>25</v>
      </c>
      <c r="M17" s="31" t="s">
        <v>26</v>
      </c>
    </row>
    <row r="18" spans="2:13" x14ac:dyDescent="0.25">
      <c r="B18" s="208" t="s">
        <v>142</v>
      </c>
      <c r="C18" s="209"/>
      <c r="D18" s="209"/>
      <c r="E18" s="209"/>
      <c r="F18" s="209"/>
      <c r="G18" s="209"/>
      <c r="H18" s="209"/>
      <c r="I18" s="209"/>
      <c r="J18" s="209"/>
      <c r="K18" s="209"/>
      <c r="L18" s="209"/>
      <c r="M18" s="209"/>
    </row>
    <row r="19" spans="2:13" ht="20.100000000000001" customHeight="1" x14ac:dyDescent="0.25">
      <c r="B19" s="210" t="s">
        <v>95</v>
      </c>
      <c r="C19" s="211" t="s">
        <v>96</v>
      </c>
      <c r="D19" s="211" t="s">
        <v>97</v>
      </c>
      <c r="E19" s="211" t="s">
        <v>97</v>
      </c>
      <c r="F19" s="211" t="s">
        <v>98</v>
      </c>
      <c r="G19" s="211" t="s">
        <v>98</v>
      </c>
      <c r="H19" s="211" t="s">
        <v>99</v>
      </c>
      <c r="I19" s="211" t="s">
        <v>99</v>
      </c>
      <c r="J19" s="211" t="s">
        <v>98</v>
      </c>
      <c r="K19" s="211" t="s">
        <v>100</v>
      </c>
      <c r="L19" s="211" t="s">
        <v>100</v>
      </c>
      <c r="M19" s="211" t="s">
        <v>100</v>
      </c>
    </row>
    <row r="20" spans="2:13" ht="20.100000000000001" customHeight="1" x14ac:dyDescent="0.25">
      <c r="B20" s="212" t="s">
        <v>101</v>
      </c>
      <c r="C20" s="213" t="s">
        <v>375</v>
      </c>
      <c r="D20" s="213" t="s">
        <v>102</v>
      </c>
      <c r="E20" s="213" t="s">
        <v>102</v>
      </c>
      <c r="F20" s="213" t="s">
        <v>103</v>
      </c>
      <c r="G20" s="213" t="s">
        <v>103</v>
      </c>
      <c r="H20" s="213" t="s">
        <v>99</v>
      </c>
      <c r="I20" s="213" t="s">
        <v>99</v>
      </c>
      <c r="J20" s="213" t="s">
        <v>103</v>
      </c>
      <c r="K20" s="213" t="s">
        <v>104</v>
      </c>
      <c r="L20" s="213" t="s">
        <v>104</v>
      </c>
      <c r="M20" s="213" t="s">
        <v>104</v>
      </c>
    </row>
    <row r="21" spans="2:13" ht="20.100000000000001" customHeight="1" x14ac:dyDescent="0.25">
      <c r="B21" s="210" t="s">
        <v>143</v>
      </c>
      <c r="C21" s="211" t="s">
        <v>105</v>
      </c>
      <c r="D21" s="211" t="s">
        <v>105</v>
      </c>
      <c r="E21" s="211" t="s">
        <v>105</v>
      </c>
      <c r="F21" s="211" t="s">
        <v>106</v>
      </c>
      <c r="G21" s="211" t="s">
        <v>106</v>
      </c>
      <c r="H21" s="211" t="s">
        <v>107</v>
      </c>
      <c r="I21" s="211" t="s">
        <v>106</v>
      </c>
      <c r="J21" s="211" t="s">
        <v>106</v>
      </c>
      <c r="K21" s="211" t="s">
        <v>106</v>
      </c>
      <c r="L21" s="211" t="s">
        <v>106</v>
      </c>
      <c r="M21" s="211" t="s">
        <v>106</v>
      </c>
    </row>
    <row r="22" spans="2:13" x14ac:dyDescent="0.25">
      <c r="B22" s="208" t="s">
        <v>144</v>
      </c>
      <c r="C22" s="209"/>
      <c r="D22" s="209"/>
      <c r="E22" s="209"/>
      <c r="F22" s="209"/>
      <c r="G22" s="209"/>
      <c r="H22" s="209"/>
      <c r="I22" s="209"/>
      <c r="J22" s="209"/>
      <c r="K22" s="209"/>
      <c r="L22" s="209"/>
      <c r="M22" s="209"/>
    </row>
    <row r="23" spans="2:13" s="33" customFormat="1" ht="22.5" x14ac:dyDescent="0.25">
      <c r="B23" s="214" t="s">
        <v>145</v>
      </c>
      <c r="C23" s="215">
        <v>0</v>
      </c>
      <c r="D23" s="216" t="s">
        <v>108</v>
      </c>
      <c r="E23" s="216" t="s">
        <v>108</v>
      </c>
      <c r="F23" s="215" t="s">
        <v>123</v>
      </c>
      <c r="G23" s="215" t="s">
        <v>123</v>
      </c>
      <c r="H23" s="215" t="s">
        <v>123</v>
      </c>
      <c r="I23" s="215" t="s">
        <v>123</v>
      </c>
      <c r="J23" s="215" t="s">
        <v>123</v>
      </c>
      <c r="K23" s="216" t="s">
        <v>376</v>
      </c>
      <c r="L23" s="216" t="s">
        <v>376</v>
      </c>
      <c r="M23" s="215" t="s">
        <v>109</v>
      </c>
    </row>
    <row r="24" spans="2:13" ht="20.100000000000001" customHeight="1" x14ac:dyDescent="0.25">
      <c r="B24" s="212" t="s">
        <v>146</v>
      </c>
      <c r="C24" s="213">
        <v>0</v>
      </c>
      <c r="D24" s="213" t="s">
        <v>110</v>
      </c>
      <c r="E24" s="213" t="s">
        <v>110</v>
      </c>
      <c r="F24" s="213" t="s">
        <v>377</v>
      </c>
      <c r="G24" s="213" t="s">
        <v>377</v>
      </c>
      <c r="H24" s="213" t="s">
        <v>377</v>
      </c>
      <c r="I24" s="213" t="s">
        <v>377</v>
      </c>
      <c r="J24" s="213" t="s">
        <v>377</v>
      </c>
      <c r="K24" s="213" t="s">
        <v>111</v>
      </c>
      <c r="L24" s="213" t="s">
        <v>111</v>
      </c>
      <c r="M24" s="213" t="s">
        <v>112</v>
      </c>
    </row>
    <row r="25" spans="2:13" ht="20.100000000000001" customHeight="1" x14ac:dyDescent="0.25">
      <c r="B25" s="210" t="s">
        <v>147</v>
      </c>
      <c r="C25" s="211">
        <v>0</v>
      </c>
      <c r="D25" s="211" t="s">
        <v>113</v>
      </c>
      <c r="E25" s="211" t="s">
        <v>113</v>
      </c>
      <c r="F25" s="211" t="s">
        <v>113</v>
      </c>
      <c r="G25" s="211" t="s">
        <v>114</v>
      </c>
      <c r="H25" s="211" t="s">
        <v>112</v>
      </c>
      <c r="I25" s="211" t="s">
        <v>112</v>
      </c>
      <c r="J25" s="211" t="s">
        <v>114</v>
      </c>
      <c r="K25" s="211" t="s">
        <v>378</v>
      </c>
      <c r="L25" s="211" t="s">
        <v>378</v>
      </c>
      <c r="M25" s="211">
        <v>0</v>
      </c>
    </row>
    <row r="26" spans="2:13" ht="22.5" x14ac:dyDescent="0.25">
      <c r="B26" s="212" t="s">
        <v>148</v>
      </c>
      <c r="C26" s="213">
        <v>0</v>
      </c>
      <c r="D26" s="217" t="s">
        <v>115</v>
      </c>
      <c r="E26" s="217" t="s">
        <v>115</v>
      </c>
      <c r="F26" s="217" t="s">
        <v>379</v>
      </c>
      <c r="G26" s="217" t="s">
        <v>116</v>
      </c>
      <c r="H26" s="217" t="s">
        <v>117</v>
      </c>
      <c r="I26" s="217" t="s">
        <v>117</v>
      </c>
      <c r="J26" s="217" t="s">
        <v>116</v>
      </c>
      <c r="K26" s="217" t="s">
        <v>380</v>
      </c>
      <c r="L26" s="217" t="s">
        <v>380</v>
      </c>
      <c r="M26" s="217">
        <v>0</v>
      </c>
    </row>
    <row r="27" spans="2:13" x14ac:dyDescent="0.25">
      <c r="B27" s="208" t="s">
        <v>149</v>
      </c>
      <c r="C27" s="209"/>
      <c r="D27" s="209"/>
      <c r="E27" s="209"/>
      <c r="F27" s="209"/>
      <c r="G27" s="209"/>
      <c r="H27" s="209"/>
      <c r="I27" s="209"/>
      <c r="J27" s="209"/>
      <c r="K27" s="209"/>
      <c r="L27" s="209"/>
      <c r="M27" s="209"/>
    </row>
    <row r="28" spans="2:13" ht="20.100000000000001" customHeight="1" x14ac:dyDescent="0.25">
      <c r="B28" s="214" t="s">
        <v>145</v>
      </c>
      <c r="C28" s="211">
        <v>0</v>
      </c>
      <c r="D28" s="211" t="s">
        <v>118</v>
      </c>
      <c r="E28" s="211" t="s">
        <v>118</v>
      </c>
      <c r="F28" s="211" t="s">
        <v>123</v>
      </c>
      <c r="G28" s="211" t="s">
        <v>99</v>
      </c>
      <c r="H28" s="211">
        <v>0</v>
      </c>
      <c r="I28" s="211">
        <v>0</v>
      </c>
      <c r="J28" s="211" t="s">
        <v>99</v>
      </c>
      <c r="K28" s="211" t="s">
        <v>99</v>
      </c>
      <c r="L28" s="211" t="s">
        <v>99</v>
      </c>
      <c r="M28" s="211">
        <v>0</v>
      </c>
    </row>
    <row r="29" spans="2:13" ht="20.100000000000001" customHeight="1" x14ac:dyDescent="0.25">
      <c r="B29" s="212" t="s">
        <v>146</v>
      </c>
      <c r="C29" s="213" t="s">
        <v>110</v>
      </c>
      <c r="D29" s="213" t="s">
        <v>119</v>
      </c>
      <c r="E29" s="213" t="s">
        <v>119</v>
      </c>
      <c r="F29" s="213" t="s">
        <v>381</v>
      </c>
      <c r="G29" s="213" t="s">
        <v>99</v>
      </c>
      <c r="H29" s="213">
        <v>0</v>
      </c>
      <c r="I29" s="213">
        <v>0</v>
      </c>
      <c r="J29" s="213" t="s">
        <v>99</v>
      </c>
      <c r="K29" s="213" t="s">
        <v>99</v>
      </c>
      <c r="L29" s="213" t="s">
        <v>99</v>
      </c>
      <c r="M29" s="213">
        <v>0</v>
      </c>
    </row>
    <row r="30" spans="2:13" ht="20.100000000000001" customHeight="1" x14ac:dyDescent="0.25">
      <c r="B30" s="210" t="s">
        <v>147</v>
      </c>
      <c r="C30" s="211">
        <v>0</v>
      </c>
      <c r="D30" s="211" t="s">
        <v>382</v>
      </c>
      <c r="E30" s="211" t="s">
        <v>382</v>
      </c>
      <c r="F30" s="211" t="s">
        <v>128</v>
      </c>
      <c r="G30" s="211" t="s">
        <v>99</v>
      </c>
      <c r="H30" s="211">
        <v>0</v>
      </c>
      <c r="I30" s="211">
        <v>0</v>
      </c>
      <c r="J30" s="211" t="s">
        <v>99</v>
      </c>
      <c r="K30" s="211" t="s">
        <v>99</v>
      </c>
      <c r="L30" s="211" t="s">
        <v>99</v>
      </c>
      <c r="M30" s="211">
        <v>0</v>
      </c>
    </row>
    <row r="31" spans="2:13" ht="20.100000000000001" customHeight="1" x14ac:dyDescent="0.25">
      <c r="B31" s="212" t="s">
        <v>148</v>
      </c>
      <c r="C31" s="213">
        <v>0</v>
      </c>
      <c r="D31" s="213" t="s">
        <v>120</v>
      </c>
      <c r="E31" s="213" t="s">
        <v>120</v>
      </c>
      <c r="F31" s="213" t="s">
        <v>121</v>
      </c>
      <c r="G31" s="213" t="s">
        <v>99</v>
      </c>
      <c r="H31" s="213">
        <v>0</v>
      </c>
      <c r="I31" s="213">
        <v>0</v>
      </c>
      <c r="J31" s="213" t="s">
        <v>99</v>
      </c>
      <c r="K31" s="213" t="s">
        <v>99</v>
      </c>
      <c r="L31" s="213" t="s">
        <v>99</v>
      </c>
      <c r="M31" s="213">
        <v>0</v>
      </c>
    </row>
    <row r="32" spans="2:13" x14ac:dyDescent="0.25">
      <c r="B32" s="208" t="s">
        <v>150</v>
      </c>
      <c r="C32" s="209"/>
      <c r="D32" s="209"/>
      <c r="E32" s="209"/>
      <c r="F32" s="209"/>
      <c r="G32" s="209"/>
      <c r="H32" s="209"/>
      <c r="I32" s="209"/>
      <c r="J32" s="209"/>
      <c r="K32" s="209"/>
      <c r="L32" s="209"/>
      <c r="M32" s="209"/>
    </row>
    <row r="33" spans="2:13" s="33" customFormat="1" ht="22.5" x14ac:dyDescent="0.25">
      <c r="B33" s="214" t="s">
        <v>145</v>
      </c>
      <c r="C33" s="215" t="s">
        <v>118</v>
      </c>
      <c r="D33" s="216" t="s">
        <v>108</v>
      </c>
      <c r="E33" s="216" t="s">
        <v>108</v>
      </c>
      <c r="F33" s="218" t="s">
        <v>122</v>
      </c>
      <c r="G33" s="215" t="s">
        <v>123</v>
      </c>
      <c r="H33" s="215" t="s">
        <v>123</v>
      </c>
      <c r="I33" s="215" t="s">
        <v>123</v>
      </c>
      <c r="J33" s="215" t="s">
        <v>123</v>
      </c>
      <c r="K33" s="215" t="s">
        <v>123</v>
      </c>
      <c r="L33" s="215" t="s">
        <v>124</v>
      </c>
      <c r="M33" s="215">
        <v>0</v>
      </c>
    </row>
    <row r="34" spans="2:13" ht="20.100000000000001" customHeight="1" x14ac:dyDescent="0.25">
      <c r="B34" s="212" t="s">
        <v>146</v>
      </c>
      <c r="C34" s="213">
        <v>0</v>
      </c>
      <c r="D34" s="213" t="s">
        <v>119</v>
      </c>
      <c r="E34" s="213" t="s">
        <v>119</v>
      </c>
      <c r="F34" s="213" t="s">
        <v>125</v>
      </c>
      <c r="G34" s="213" t="s">
        <v>110</v>
      </c>
      <c r="H34" s="213" t="s">
        <v>126</v>
      </c>
      <c r="I34" s="213" t="s">
        <v>126</v>
      </c>
      <c r="J34" s="213" t="s">
        <v>394</v>
      </c>
      <c r="K34" s="213" t="s">
        <v>394</v>
      </c>
      <c r="L34" s="213" t="s">
        <v>383</v>
      </c>
      <c r="M34" s="213">
        <v>0</v>
      </c>
    </row>
    <row r="35" spans="2:13" ht="20.100000000000001" customHeight="1" x14ac:dyDescent="0.25">
      <c r="B35" s="210" t="s">
        <v>147</v>
      </c>
      <c r="C35" s="211">
        <v>0</v>
      </c>
      <c r="D35" s="211" t="s">
        <v>127</v>
      </c>
      <c r="E35" s="211" t="s">
        <v>127</v>
      </c>
      <c r="F35" s="211" t="s">
        <v>128</v>
      </c>
      <c r="G35" s="211" t="s">
        <v>392</v>
      </c>
      <c r="H35" s="211" t="s">
        <v>112</v>
      </c>
      <c r="I35" s="211" t="s">
        <v>112</v>
      </c>
      <c r="J35" s="211" t="s">
        <v>392</v>
      </c>
      <c r="K35" s="211" t="s">
        <v>393</v>
      </c>
      <c r="L35" s="211" t="s">
        <v>129</v>
      </c>
      <c r="M35" s="211">
        <v>0</v>
      </c>
    </row>
    <row r="36" spans="2:13" ht="29.25" customHeight="1" x14ac:dyDescent="0.25">
      <c r="B36" s="212" t="s">
        <v>148</v>
      </c>
      <c r="C36" s="213">
        <v>0</v>
      </c>
      <c r="D36" s="213" t="s">
        <v>130</v>
      </c>
      <c r="E36" s="213" t="s">
        <v>130</v>
      </c>
      <c r="F36" s="213" t="s">
        <v>130</v>
      </c>
      <c r="G36" s="217" t="s">
        <v>395</v>
      </c>
      <c r="H36" s="213" t="s">
        <v>384</v>
      </c>
      <c r="I36" s="213" t="s">
        <v>384</v>
      </c>
      <c r="J36" s="217" t="s">
        <v>396</v>
      </c>
      <c r="K36" s="217" t="s">
        <v>397</v>
      </c>
      <c r="L36" s="217" t="s">
        <v>385</v>
      </c>
      <c r="M36" s="217">
        <v>0</v>
      </c>
    </row>
    <row r="37" spans="2:13" x14ac:dyDescent="0.25">
      <c r="B37" s="208" t="s">
        <v>151</v>
      </c>
      <c r="C37" s="209"/>
      <c r="D37" s="209"/>
      <c r="E37" s="209"/>
      <c r="F37" s="209"/>
      <c r="G37" s="209"/>
      <c r="H37" s="209"/>
      <c r="I37" s="209"/>
      <c r="J37" s="209"/>
      <c r="K37" s="209"/>
      <c r="L37" s="209"/>
      <c r="M37" s="209"/>
    </row>
    <row r="38" spans="2:13" ht="20.100000000000001" customHeight="1" x14ac:dyDescent="0.25">
      <c r="B38" s="214" t="s">
        <v>145</v>
      </c>
      <c r="C38" s="211" t="s">
        <v>131</v>
      </c>
      <c r="D38" s="211" t="s">
        <v>131</v>
      </c>
      <c r="E38" s="211" t="s">
        <v>131</v>
      </c>
      <c r="F38" s="211" t="s">
        <v>131</v>
      </c>
      <c r="G38" s="211" t="s">
        <v>99</v>
      </c>
      <c r="H38" s="211">
        <v>0</v>
      </c>
      <c r="I38" s="211">
        <v>0</v>
      </c>
      <c r="J38" s="211" t="s">
        <v>99</v>
      </c>
      <c r="K38" s="211" t="s">
        <v>99</v>
      </c>
      <c r="L38" s="211" t="s">
        <v>99</v>
      </c>
      <c r="M38" s="211">
        <v>0</v>
      </c>
    </row>
    <row r="39" spans="2:13" ht="22.5" x14ac:dyDescent="0.25">
      <c r="B39" s="212" t="s">
        <v>146</v>
      </c>
      <c r="C39" s="213" t="s">
        <v>132</v>
      </c>
      <c r="D39" s="217" t="s">
        <v>133</v>
      </c>
      <c r="E39" s="217" t="s">
        <v>133</v>
      </c>
      <c r="F39" s="217" t="s">
        <v>133</v>
      </c>
      <c r="G39" s="213" t="s">
        <v>99</v>
      </c>
      <c r="H39" s="213">
        <v>0</v>
      </c>
      <c r="I39" s="213">
        <v>0</v>
      </c>
      <c r="J39" s="213" t="s">
        <v>99</v>
      </c>
      <c r="K39" s="213" t="s">
        <v>99</v>
      </c>
      <c r="L39" s="213" t="s">
        <v>99</v>
      </c>
      <c r="M39" s="213">
        <v>0</v>
      </c>
    </row>
    <row r="40" spans="2:13" ht="20.100000000000001" customHeight="1" x14ac:dyDescent="0.25">
      <c r="B40" s="210" t="s">
        <v>147</v>
      </c>
      <c r="C40" s="211" t="s">
        <v>134</v>
      </c>
      <c r="D40" s="211" t="s">
        <v>134</v>
      </c>
      <c r="E40" s="211" t="s">
        <v>134</v>
      </c>
      <c r="F40" s="211" t="s">
        <v>135</v>
      </c>
      <c r="G40" s="211" t="s">
        <v>99</v>
      </c>
      <c r="H40" s="211">
        <v>0</v>
      </c>
      <c r="I40" s="211">
        <v>0</v>
      </c>
      <c r="J40" s="211" t="s">
        <v>99</v>
      </c>
      <c r="K40" s="211" t="s">
        <v>99</v>
      </c>
      <c r="L40" s="211" t="s">
        <v>99</v>
      </c>
      <c r="M40" s="211">
        <v>0</v>
      </c>
    </row>
    <row r="41" spans="2:13" ht="23.25" thickBot="1" x14ac:dyDescent="0.3">
      <c r="B41" s="212" t="s">
        <v>148</v>
      </c>
      <c r="C41" s="213" t="s">
        <v>136</v>
      </c>
      <c r="D41" s="217" t="s">
        <v>137</v>
      </c>
      <c r="E41" s="217" t="s">
        <v>137</v>
      </c>
      <c r="F41" s="217" t="s">
        <v>137</v>
      </c>
      <c r="G41" s="213" t="s">
        <v>99</v>
      </c>
      <c r="H41" s="213">
        <v>0</v>
      </c>
      <c r="I41" s="213">
        <v>0</v>
      </c>
      <c r="J41" s="213" t="s">
        <v>99</v>
      </c>
      <c r="K41" s="213" t="s">
        <v>99</v>
      </c>
      <c r="L41" s="213" t="s">
        <v>99</v>
      </c>
      <c r="M41" s="213">
        <v>0</v>
      </c>
    </row>
    <row r="42" spans="2:13" s="226" customFormat="1" ht="15.75" thickBot="1" x14ac:dyDescent="0.3">
      <c r="B42" s="222" t="s">
        <v>398</v>
      </c>
      <c r="C42" s="223"/>
      <c r="D42" s="224"/>
      <c r="E42" s="224"/>
      <c r="F42" s="224"/>
      <c r="G42" s="224"/>
      <c r="H42" s="223"/>
      <c r="I42" s="223"/>
      <c r="J42" s="224"/>
      <c r="K42" s="224"/>
      <c r="L42" s="224"/>
      <c r="M42" s="225"/>
    </row>
    <row r="43" spans="2:13" s="226" customFormat="1" ht="23.25" thickBot="1" x14ac:dyDescent="0.3">
      <c r="B43" s="227" t="s">
        <v>145</v>
      </c>
      <c r="C43" s="228" t="e">
        <f t="shared" ref="C43" si="0">+#REF!</f>
        <v>#REF!</v>
      </c>
      <c r="D43" s="229" t="s">
        <v>99</v>
      </c>
      <c r="E43" s="229" t="s">
        <v>99</v>
      </c>
      <c r="F43" s="229" t="s">
        <v>99</v>
      </c>
      <c r="G43" s="229" t="s">
        <v>99</v>
      </c>
      <c r="H43" s="228" t="s">
        <v>99</v>
      </c>
      <c r="I43" s="228" t="s">
        <v>99</v>
      </c>
      <c r="J43" s="229" t="s">
        <v>99</v>
      </c>
      <c r="K43" s="230" t="s">
        <v>400</v>
      </c>
      <c r="L43" s="230" t="s">
        <v>99</v>
      </c>
      <c r="M43" s="230" t="s">
        <v>99</v>
      </c>
    </row>
    <row r="44" spans="2:13" s="226" customFormat="1" ht="15.75" thickBot="1" x14ac:dyDescent="0.3">
      <c r="B44" s="231" t="s">
        <v>146</v>
      </c>
      <c r="C44" s="232" t="e">
        <f t="shared" ref="C44" si="1">+#REF!</f>
        <v>#REF!</v>
      </c>
      <c r="D44" s="233" t="s">
        <v>99</v>
      </c>
      <c r="E44" s="233" t="s">
        <v>99</v>
      </c>
      <c r="F44" s="233" t="s">
        <v>99</v>
      </c>
      <c r="G44" s="233" t="s">
        <v>99</v>
      </c>
      <c r="H44" s="232" t="s">
        <v>99</v>
      </c>
      <c r="I44" s="232" t="s">
        <v>99</v>
      </c>
      <c r="J44" s="233" t="s">
        <v>99</v>
      </c>
      <c r="K44" s="233" t="s">
        <v>110</v>
      </c>
      <c r="L44" s="233" t="s">
        <v>99</v>
      </c>
      <c r="M44" s="233" t="s">
        <v>99</v>
      </c>
    </row>
    <row r="45" spans="2:13" s="226" customFormat="1" ht="20.100000000000001" customHeight="1" thickBot="1" x14ac:dyDescent="0.3">
      <c r="B45" s="234" t="s">
        <v>147</v>
      </c>
      <c r="C45" s="228" t="e">
        <f t="shared" ref="C45" si="2">+#REF!</f>
        <v>#REF!</v>
      </c>
      <c r="D45" s="229" t="s">
        <v>99</v>
      </c>
      <c r="E45" s="229" t="s">
        <v>99</v>
      </c>
      <c r="F45" s="229" t="s">
        <v>99</v>
      </c>
      <c r="G45" s="229" t="s">
        <v>99</v>
      </c>
      <c r="H45" s="228" t="s">
        <v>99</v>
      </c>
      <c r="I45" s="228" t="s">
        <v>99</v>
      </c>
      <c r="J45" s="229" t="s">
        <v>99</v>
      </c>
      <c r="K45" s="229" t="s">
        <v>401</v>
      </c>
      <c r="L45" s="229" t="s">
        <v>99</v>
      </c>
      <c r="M45" s="229" t="s">
        <v>99</v>
      </c>
    </row>
    <row r="46" spans="2:13" s="226" customFormat="1" ht="15.75" thickBot="1" x14ac:dyDescent="0.3">
      <c r="B46" s="235" t="s">
        <v>148</v>
      </c>
      <c r="C46" s="236" t="e">
        <f t="shared" ref="C46" si="3">+#REF!</f>
        <v>#REF!</v>
      </c>
      <c r="D46" s="237" t="s">
        <v>99</v>
      </c>
      <c r="E46" s="237" t="s">
        <v>99</v>
      </c>
      <c r="F46" s="237" t="s">
        <v>99</v>
      </c>
      <c r="G46" s="237" t="s">
        <v>99</v>
      </c>
      <c r="H46" s="236" t="s">
        <v>99</v>
      </c>
      <c r="I46" s="236" t="s">
        <v>99</v>
      </c>
      <c r="J46" s="237" t="s">
        <v>99</v>
      </c>
      <c r="K46" s="237" t="s">
        <v>402</v>
      </c>
      <c r="L46" s="237" t="s">
        <v>99</v>
      </c>
      <c r="M46" s="237" t="s">
        <v>99</v>
      </c>
    </row>
    <row r="47" spans="2:13" s="226" customFormat="1" ht="15.75" thickBot="1" x14ac:dyDescent="0.3">
      <c r="B47" s="222" t="s">
        <v>399</v>
      </c>
      <c r="C47" s="223"/>
      <c r="D47" s="224"/>
      <c r="E47" s="224"/>
      <c r="F47" s="224"/>
      <c r="G47" s="224"/>
      <c r="H47" s="223"/>
      <c r="I47" s="223"/>
      <c r="J47" s="224"/>
      <c r="K47" s="224"/>
      <c r="L47" s="224"/>
      <c r="M47" s="224"/>
    </row>
    <row r="48" spans="2:13" s="226" customFormat="1" ht="20.100000000000001" customHeight="1" thickBot="1" x14ac:dyDescent="0.3">
      <c r="B48" s="227" t="s">
        <v>145</v>
      </c>
      <c r="C48" s="228" t="e">
        <f t="shared" ref="C48" si="4">+#REF!</f>
        <v>#REF!</v>
      </c>
      <c r="D48" s="229" t="s">
        <v>99</v>
      </c>
      <c r="E48" s="229" t="s">
        <v>99</v>
      </c>
      <c r="F48" s="229" t="s">
        <v>99</v>
      </c>
      <c r="G48" s="229" t="s">
        <v>99</v>
      </c>
      <c r="H48" s="228" t="s">
        <v>99</v>
      </c>
      <c r="I48" s="228" t="s">
        <v>99</v>
      </c>
      <c r="J48" s="229" t="s">
        <v>99</v>
      </c>
      <c r="K48" s="229" t="s">
        <v>123</v>
      </c>
      <c r="L48" s="229" t="s">
        <v>99</v>
      </c>
      <c r="M48" s="229" t="s">
        <v>99</v>
      </c>
    </row>
    <row r="49" spans="2:13" s="226" customFormat="1" ht="15.75" thickBot="1" x14ac:dyDescent="0.3">
      <c r="B49" s="231" t="s">
        <v>146</v>
      </c>
      <c r="C49" s="232" t="e">
        <f t="shared" ref="C49" si="5">+#REF!</f>
        <v>#REF!</v>
      </c>
      <c r="D49" s="233" t="s">
        <v>99</v>
      </c>
      <c r="E49" s="233" t="s">
        <v>99</v>
      </c>
      <c r="F49" s="233" t="s">
        <v>99</v>
      </c>
      <c r="G49" s="233" t="s">
        <v>99</v>
      </c>
      <c r="H49" s="232" t="s">
        <v>99</v>
      </c>
      <c r="I49" s="232" t="s">
        <v>99</v>
      </c>
      <c r="J49" s="233" t="s">
        <v>99</v>
      </c>
      <c r="K49" s="233" t="s">
        <v>110</v>
      </c>
      <c r="L49" s="233" t="s">
        <v>99</v>
      </c>
      <c r="M49" s="233" t="s">
        <v>99</v>
      </c>
    </row>
    <row r="50" spans="2:13" s="226" customFormat="1" ht="20.100000000000001" customHeight="1" thickBot="1" x14ac:dyDescent="0.3">
      <c r="B50" s="234" t="s">
        <v>147</v>
      </c>
      <c r="C50" s="228" t="e">
        <f t="shared" ref="C50" si="6">+#REF!</f>
        <v>#REF!</v>
      </c>
      <c r="D50" s="229" t="s">
        <v>99</v>
      </c>
      <c r="E50" s="229" t="s">
        <v>99</v>
      </c>
      <c r="F50" s="229" t="s">
        <v>99</v>
      </c>
      <c r="G50" s="229" t="s">
        <v>99</v>
      </c>
      <c r="H50" s="228" t="s">
        <v>99</v>
      </c>
      <c r="I50" s="228" t="s">
        <v>99</v>
      </c>
      <c r="J50" s="229" t="s">
        <v>99</v>
      </c>
      <c r="K50" s="229" t="s">
        <v>403</v>
      </c>
      <c r="L50" s="229" t="s">
        <v>99</v>
      </c>
      <c r="M50" s="229" t="s">
        <v>99</v>
      </c>
    </row>
    <row r="51" spans="2:13" s="226" customFormat="1" ht="15" x14ac:dyDescent="0.25">
      <c r="B51" s="235" t="s">
        <v>148</v>
      </c>
      <c r="C51" s="236" t="e">
        <f t="shared" ref="C51" si="7">+#REF!</f>
        <v>#REF!</v>
      </c>
      <c r="D51" s="237" t="s">
        <v>99</v>
      </c>
      <c r="E51" s="237" t="s">
        <v>99</v>
      </c>
      <c r="F51" s="237" t="s">
        <v>99</v>
      </c>
      <c r="G51" s="237" t="s">
        <v>99</v>
      </c>
      <c r="H51" s="236" t="s">
        <v>99</v>
      </c>
      <c r="I51" s="236" t="s">
        <v>99</v>
      </c>
      <c r="J51" s="237" t="s">
        <v>99</v>
      </c>
      <c r="K51" s="237" t="s">
        <v>404</v>
      </c>
      <c r="L51" s="237" t="s">
        <v>99</v>
      </c>
      <c r="M51" s="237" t="s">
        <v>99</v>
      </c>
    </row>
    <row r="54" spans="2:13" ht="12" thickBot="1" x14ac:dyDescent="0.3">
      <c r="B54" s="34" t="s">
        <v>386</v>
      </c>
      <c r="C54" s="35">
        <v>2</v>
      </c>
      <c r="D54" s="35">
        <v>3</v>
      </c>
      <c r="E54" s="35">
        <v>4</v>
      </c>
      <c r="F54" s="35">
        <v>5</v>
      </c>
      <c r="G54" s="35">
        <v>6</v>
      </c>
      <c r="H54" s="35">
        <v>7</v>
      </c>
      <c r="I54" s="35">
        <v>8</v>
      </c>
      <c r="J54" s="35">
        <v>9</v>
      </c>
    </row>
    <row r="55" spans="2:13" ht="30" customHeight="1" thickBot="1" x14ac:dyDescent="0.3">
      <c r="B55" s="36" t="s">
        <v>152</v>
      </c>
      <c r="C55" s="37" t="s">
        <v>153</v>
      </c>
      <c r="D55" s="37" t="s">
        <v>154</v>
      </c>
      <c r="E55" s="37" t="s">
        <v>155</v>
      </c>
      <c r="F55" s="37" t="s">
        <v>156</v>
      </c>
      <c r="G55" s="37" t="s">
        <v>157</v>
      </c>
      <c r="H55" s="39" t="s">
        <v>158</v>
      </c>
      <c r="I55" s="39" t="s">
        <v>159</v>
      </c>
      <c r="J55" s="39" t="s">
        <v>183</v>
      </c>
    </row>
    <row r="56" spans="2:13" ht="19.5" customHeight="1" thickBot="1" x14ac:dyDescent="0.3">
      <c r="B56" s="40" t="s">
        <v>77</v>
      </c>
      <c r="C56" s="41" t="s">
        <v>177</v>
      </c>
      <c r="D56" s="41" t="s">
        <v>178</v>
      </c>
      <c r="E56" s="41" t="s">
        <v>178</v>
      </c>
      <c r="F56" s="41" t="s">
        <v>82</v>
      </c>
      <c r="G56" s="41" t="s">
        <v>83</v>
      </c>
      <c r="H56" s="41" t="s">
        <v>83</v>
      </c>
      <c r="I56" s="41" t="s">
        <v>179</v>
      </c>
      <c r="J56" s="41" t="s">
        <v>180</v>
      </c>
    </row>
    <row r="57" spans="2:13" ht="19.5" customHeight="1" thickBot="1" x14ac:dyDescent="0.3">
      <c r="B57" s="43" t="s">
        <v>32</v>
      </c>
      <c r="C57" s="44" t="s">
        <v>33</v>
      </c>
      <c r="D57" s="44" t="s">
        <v>33</v>
      </c>
      <c r="E57" s="44" t="s">
        <v>33</v>
      </c>
      <c r="F57" s="44" t="s">
        <v>33</v>
      </c>
      <c r="G57" s="44" t="s">
        <v>33</v>
      </c>
      <c r="H57" s="44">
        <v>0</v>
      </c>
      <c r="I57" s="44">
        <v>0</v>
      </c>
      <c r="J57" s="44">
        <v>0</v>
      </c>
    </row>
    <row r="58" spans="2:13" ht="19.5" customHeight="1" thickBot="1" x14ac:dyDescent="0.3">
      <c r="B58" s="46" t="s">
        <v>87</v>
      </c>
      <c r="C58" s="47" t="s">
        <v>181</v>
      </c>
      <c r="D58" s="47" t="s">
        <v>181</v>
      </c>
      <c r="E58" s="47" t="s">
        <v>181</v>
      </c>
      <c r="F58" s="47" t="s">
        <v>181</v>
      </c>
      <c r="G58" s="47" t="s">
        <v>181</v>
      </c>
      <c r="H58" s="47" t="s">
        <v>181</v>
      </c>
      <c r="I58" s="47" t="s">
        <v>181</v>
      </c>
      <c r="J58" s="47" t="s">
        <v>181</v>
      </c>
    </row>
    <row r="59" spans="2:13" ht="19.5" customHeight="1" thickBot="1" x14ac:dyDescent="0.3">
      <c r="B59" s="43" t="s">
        <v>27</v>
      </c>
      <c r="C59" s="44" t="s">
        <v>28</v>
      </c>
      <c r="D59" s="44" t="s">
        <v>28</v>
      </c>
      <c r="E59" s="44" t="s">
        <v>28</v>
      </c>
      <c r="F59" s="44" t="s">
        <v>28</v>
      </c>
      <c r="G59" s="44" t="s">
        <v>28</v>
      </c>
      <c r="H59" s="44">
        <v>0</v>
      </c>
      <c r="I59" s="44">
        <v>0</v>
      </c>
      <c r="J59" s="44">
        <v>0</v>
      </c>
    </row>
    <row r="60" spans="2:13" ht="19.5" customHeight="1" thickBot="1" x14ac:dyDescent="0.3">
      <c r="B60" s="46" t="s">
        <v>51</v>
      </c>
      <c r="C60" s="47" t="s">
        <v>169</v>
      </c>
      <c r="D60" s="47" t="s">
        <v>170</v>
      </c>
      <c r="E60" s="47" t="s">
        <v>171</v>
      </c>
      <c r="F60" s="47" t="s">
        <v>172</v>
      </c>
      <c r="G60" s="47" t="s">
        <v>171</v>
      </c>
      <c r="H60" s="47" t="s">
        <v>54</v>
      </c>
      <c r="I60" s="47" t="s">
        <v>55</v>
      </c>
      <c r="J60" s="47">
        <v>0</v>
      </c>
    </row>
    <row r="61" spans="2:13" ht="19.5" customHeight="1" thickBot="1" x14ac:dyDescent="0.3">
      <c r="B61" s="43" t="s">
        <v>36</v>
      </c>
      <c r="C61" s="44" t="s">
        <v>160</v>
      </c>
      <c r="D61" s="44" t="s">
        <v>161</v>
      </c>
      <c r="E61" s="44" t="s">
        <v>162</v>
      </c>
      <c r="F61" s="44" t="s">
        <v>162</v>
      </c>
      <c r="G61" s="49" t="s">
        <v>163</v>
      </c>
      <c r="H61" s="44">
        <v>0</v>
      </c>
      <c r="I61" s="49">
        <v>0</v>
      </c>
      <c r="J61" s="49">
        <v>0</v>
      </c>
    </row>
    <row r="62" spans="2:13" ht="19.5" customHeight="1" thickBot="1" x14ac:dyDescent="0.3">
      <c r="B62" s="46" t="s">
        <v>42</v>
      </c>
      <c r="C62" s="47" t="s">
        <v>164</v>
      </c>
      <c r="D62" s="47" t="s">
        <v>165</v>
      </c>
      <c r="E62" s="47" t="s">
        <v>166</v>
      </c>
      <c r="F62" s="47" t="s">
        <v>167</v>
      </c>
      <c r="G62" s="47" t="s">
        <v>167</v>
      </c>
      <c r="H62" s="47" t="s">
        <v>168</v>
      </c>
      <c r="I62" s="47" t="s">
        <v>168</v>
      </c>
      <c r="J62" s="47" t="s">
        <v>90</v>
      </c>
    </row>
    <row r="63" spans="2:13" ht="19.5" customHeight="1" thickBot="1" x14ac:dyDescent="0.3">
      <c r="B63" s="43" t="s">
        <v>91</v>
      </c>
      <c r="C63" s="44" t="s">
        <v>182</v>
      </c>
      <c r="D63" s="44" t="s">
        <v>182</v>
      </c>
      <c r="E63" s="44" t="s">
        <v>182</v>
      </c>
      <c r="F63" s="44" t="s">
        <v>163</v>
      </c>
      <c r="G63" s="44" t="s">
        <v>163</v>
      </c>
      <c r="H63" s="44">
        <v>0</v>
      </c>
      <c r="I63" s="44">
        <v>0</v>
      </c>
      <c r="J63" s="44">
        <v>0</v>
      </c>
    </row>
    <row r="64" spans="2:13" ht="19.5" customHeight="1" thickBot="1" x14ac:dyDescent="0.3">
      <c r="B64" s="46" t="s">
        <v>173</v>
      </c>
      <c r="C64" s="47" t="s">
        <v>174</v>
      </c>
      <c r="D64" s="47" t="s">
        <v>175</v>
      </c>
      <c r="E64" s="47" t="s">
        <v>176</v>
      </c>
      <c r="F64" s="47" t="s">
        <v>163</v>
      </c>
      <c r="G64" s="47" t="s">
        <v>163</v>
      </c>
      <c r="H64" s="47">
        <v>0</v>
      </c>
      <c r="I64" s="47">
        <v>0</v>
      </c>
      <c r="J64" s="47">
        <v>0</v>
      </c>
    </row>
    <row r="65" spans="2:10" ht="19.5" customHeight="1" thickBot="1" x14ac:dyDescent="0.3">
      <c r="B65" s="43" t="s">
        <v>66</v>
      </c>
      <c r="C65" s="44" t="s">
        <v>67</v>
      </c>
      <c r="D65" s="44" t="s">
        <v>163</v>
      </c>
      <c r="E65" s="44" t="s">
        <v>68</v>
      </c>
      <c r="F65" s="44" t="s">
        <v>68</v>
      </c>
      <c r="G65" s="44" t="s">
        <v>68</v>
      </c>
      <c r="H65" s="44">
        <v>0</v>
      </c>
      <c r="I65" s="44">
        <v>0</v>
      </c>
      <c r="J65" s="44">
        <v>0</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14C37-E7FE-4FE4-8EC3-B0D8E85FAB69}">
  <dimension ref="B1:AX290"/>
  <sheetViews>
    <sheetView topLeftCell="A167" zoomScaleNormal="100" workbookViewId="0">
      <selection activeCell="J200" sqref="J200"/>
    </sheetView>
  </sheetViews>
  <sheetFormatPr defaultColWidth="8" defaultRowHeight="11.25" outlineLevelRow="1" outlineLevelCol="1" x14ac:dyDescent="0.2"/>
  <cols>
    <col min="1" max="1" width="8" style="53"/>
    <col min="2" max="2" width="40.7109375" style="53" bestFit="1" customWidth="1"/>
    <col min="3" max="3" width="8" style="53" hidden="1" customWidth="1" outlineLevel="1"/>
    <col min="4" max="4" width="8" style="53" customWidth="1" collapsed="1"/>
    <col min="5" max="5" width="8" style="53"/>
    <col min="6" max="6" width="8" style="53" customWidth="1"/>
    <col min="7" max="8" width="8" style="53"/>
    <col min="9" max="9" width="15.85546875" style="53" bestFit="1" customWidth="1"/>
    <col min="10" max="17" width="7.5703125" style="53" customWidth="1"/>
    <col min="18" max="18" width="10.28515625" style="53" bestFit="1" customWidth="1"/>
    <col min="19" max="19" width="7.28515625" style="53" bestFit="1" customWidth="1"/>
    <col min="20" max="20" width="9.85546875" style="53" bestFit="1" customWidth="1"/>
    <col min="21" max="23" width="7.5703125" style="53" customWidth="1"/>
    <col min="24" max="24" width="8" style="53"/>
    <col min="25" max="25" width="20" style="53" bestFit="1" customWidth="1"/>
    <col min="26" max="27" width="8" style="53"/>
    <col min="28" max="28" width="9.5703125" style="53" bestFit="1" customWidth="1"/>
    <col min="29" max="48" width="8" style="53"/>
    <col min="49" max="49" width="12.7109375" style="53" customWidth="1"/>
    <col min="50" max="50" width="22.140625" style="53" customWidth="1"/>
    <col min="51" max="16384" width="8" style="53"/>
  </cols>
  <sheetData>
    <row r="1" spans="2:28" hidden="1" outlineLevel="1" x14ac:dyDescent="0.2">
      <c r="B1" s="53" t="s">
        <v>184</v>
      </c>
      <c r="D1" s="54">
        <v>2023</v>
      </c>
      <c r="E1" s="54">
        <v>2024</v>
      </c>
      <c r="F1" s="54">
        <v>2025</v>
      </c>
      <c r="G1" s="54">
        <v>2026</v>
      </c>
      <c r="H1" s="54">
        <v>2027</v>
      </c>
    </row>
    <row r="2" spans="2:28" hidden="1" outlineLevel="1" x14ac:dyDescent="0.2">
      <c r="B2" s="53" t="s">
        <v>18</v>
      </c>
      <c r="D2" s="55">
        <v>265.38268518518521</v>
      </c>
      <c r="E2" s="55">
        <v>0</v>
      </c>
      <c r="F2" s="55">
        <v>0</v>
      </c>
      <c r="G2" s="55">
        <v>0</v>
      </c>
      <c r="H2" s="55">
        <v>0</v>
      </c>
    </row>
    <row r="3" spans="2:28" hidden="1" outlineLevel="1" x14ac:dyDescent="0.2">
      <c r="B3" s="53" t="s">
        <v>185</v>
      </c>
      <c r="D3" s="55">
        <v>1249.2717399999999</v>
      </c>
      <c r="E3" s="55">
        <v>3842.6</v>
      </c>
      <c r="F3" s="55">
        <v>560.9</v>
      </c>
      <c r="G3" s="55">
        <v>0</v>
      </c>
      <c r="H3" s="55">
        <v>0</v>
      </c>
    </row>
    <row r="4" spans="2:28" hidden="1" outlineLevel="1" x14ac:dyDescent="0.2">
      <c r="B4" s="53" t="s">
        <v>186</v>
      </c>
      <c r="D4" s="55">
        <v>0</v>
      </c>
      <c r="E4" s="55">
        <v>363.2</v>
      </c>
      <c r="F4" s="55">
        <v>4279.8</v>
      </c>
      <c r="G4" s="55">
        <v>3498</v>
      </c>
      <c r="H4" s="55">
        <v>0</v>
      </c>
    </row>
    <row r="5" spans="2:28" hidden="1" outlineLevel="1" x14ac:dyDescent="0.2">
      <c r="B5" s="53" t="s">
        <v>187</v>
      </c>
      <c r="D5" s="55">
        <v>0</v>
      </c>
      <c r="E5" s="55">
        <v>0</v>
      </c>
      <c r="F5" s="55">
        <v>0</v>
      </c>
      <c r="G5" s="55">
        <v>2262.3000000000002</v>
      </c>
      <c r="H5" s="55">
        <v>3620.2</v>
      </c>
    </row>
    <row r="6" spans="2:28" hidden="1" outlineLevel="1" x14ac:dyDescent="0.2">
      <c r="B6" s="53" t="s">
        <v>188</v>
      </c>
      <c r="D6" s="55"/>
      <c r="E6" s="55"/>
      <c r="F6" s="55"/>
      <c r="G6" s="55">
        <v>54.6</v>
      </c>
      <c r="H6" s="55">
        <v>1810</v>
      </c>
    </row>
    <row r="7" spans="2:28" hidden="1" outlineLevel="1" x14ac:dyDescent="0.2">
      <c r="B7" s="53" t="s">
        <v>189</v>
      </c>
      <c r="D7" s="55">
        <v>267.62380000000007</v>
      </c>
      <c r="E7" s="55">
        <v>958</v>
      </c>
      <c r="F7" s="55">
        <v>446.5</v>
      </c>
      <c r="G7" s="55">
        <v>864.2</v>
      </c>
      <c r="H7" s="55">
        <v>950.5</v>
      </c>
    </row>
    <row r="8" spans="2:28" collapsed="1" x14ac:dyDescent="0.2"/>
    <row r="9" spans="2:28" x14ac:dyDescent="0.2">
      <c r="B9" s="56" t="s">
        <v>190</v>
      </c>
      <c r="Y9" s="56" t="s">
        <v>191</v>
      </c>
    </row>
    <row r="10" spans="2:28" x14ac:dyDescent="0.2">
      <c r="B10" s="57" t="s">
        <v>192</v>
      </c>
      <c r="C10" s="58">
        <v>2022</v>
      </c>
      <c r="D10" s="59">
        <v>2023</v>
      </c>
      <c r="E10" s="59">
        <v>2024</v>
      </c>
      <c r="F10" s="59">
        <v>2025</v>
      </c>
      <c r="G10" s="59">
        <v>2026</v>
      </c>
      <c r="H10" s="59">
        <v>2027</v>
      </c>
      <c r="J10" s="54" t="s">
        <v>193</v>
      </c>
      <c r="K10" s="54"/>
      <c r="L10" s="54"/>
      <c r="M10" s="54"/>
      <c r="N10" s="54"/>
      <c r="Y10" s="54" t="s">
        <v>194</v>
      </c>
      <c r="Z10" s="54">
        <v>2023</v>
      </c>
      <c r="AA10" s="54">
        <v>2024</v>
      </c>
    </row>
    <row r="11" spans="2:28" ht="15" x14ac:dyDescent="0.25">
      <c r="B11" s="60" t="s">
        <v>195</v>
      </c>
      <c r="C11" s="61">
        <f>+SUM(C13:C18)</f>
        <v>104.5</v>
      </c>
      <c r="D11" s="62">
        <f>+D12+D18</f>
        <v>189.33180314814814</v>
      </c>
      <c r="E11" s="62">
        <f>+E12+E18</f>
        <v>525.72500000000002</v>
      </c>
      <c r="F11" s="62">
        <f>+F12+F18</f>
        <v>161.11250000000001</v>
      </c>
      <c r="G11" s="62">
        <f>+G12+G18</f>
        <v>97.825000000000003</v>
      </c>
      <c r="H11" s="62">
        <f>+H12+H18</f>
        <v>70</v>
      </c>
      <c r="J11" s="63" t="e">
        <f>+(#REF!/#REF!)^(1/3)-1</f>
        <v>#REF!</v>
      </c>
      <c r="K11" s="63"/>
      <c r="L11" s="63"/>
      <c r="M11" s="63"/>
      <c r="N11" s="63"/>
      <c r="Y11" s="53" t="str">
        <f t="shared" ref="Y11:Y16" si="0">+Y83</f>
        <v>Quanta</v>
      </c>
      <c r="Z11" s="64">
        <f t="shared" ref="Z11:Z17" si="1">+VLOOKUP(Y11,$Y$83:$Z$93,2,FALSE)</f>
        <v>8.4507725241914772E-2</v>
      </c>
      <c r="AA11" s="64">
        <f t="shared" ref="AA11:AA17" si="2">+VLOOKUP(Y11,$Y$124:$Z$137,2,FALSE)</f>
        <v>0.13124732512244994</v>
      </c>
    </row>
    <row r="12" spans="2:28" ht="15" x14ac:dyDescent="0.25">
      <c r="B12" s="65" t="s">
        <v>196</v>
      </c>
      <c r="C12" s="66"/>
      <c r="D12" s="67">
        <f>SUM(D13:D15)</f>
        <v>186.33180314814814</v>
      </c>
      <c r="E12" s="67">
        <f>SUM(E13:E15)</f>
        <v>512.72500000000002</v>
      </c>
      <c r="F12" s="67">
        <f>SUM(F13:F16)</f>
        <v>154.11250000000001</v>
      </c>
      <c r="G12" s="67">
        <f>SUM(G13:G17)</f>
        <v>96.825000000000003</v>
      </c>
      <c r="H12" s="67">
        <f>SUM(H13:H17)</f>
        <v>70</v>
      </c>
      <c r="J12" s="63"/>
      <c r="K12" s="63"/>
      <c r="L12" s="63"/>
      <c r="M12" s="63"/>
      <c r="N12" s="63"/>
      <c r="Y12" s="53" t="str">
        <f t="shared" si="0"/>
        <v>Inventec/ZT Systems</v>
      </c>
      <c r="Z12" s="64">
        <f t="shared" si="1"/>
        <v>0.20334671386335743</v>
      </c>
      <c r="AA12" s="64">
        <f t="shared" si="2"/>
        <v>8.9400351895002131E-2</v>
      </c>
    </row>
    <row r="13" spans="2:28" ht="15" x14ac:dyDescent="0.25">
      <c r="B13" s="68" t="s">
        <v>18</v>
      </c>
      <c r="C13" s="69">
        <v>93</v>
      </c>
      <c r="D13" s="67">
        <f t="shared" ref="D13:H14" si="3">(D2/8)-D19</f>
        <v>32.172835648148151</v>
      </c>
      <c r="E13" s="67">
        <f t="shared" si="3"/>
        <v>0</v>
      </c>
      <c r="F13" s="67">
        <f t="shared" si="3"/>
        <v>0</v>
      </c>
      <c r="G13" s="67">
        <f t="shared" si="3"/>
        <v>0</v>
      </c>
      <c r="H13" s="67">
        <f t="shared" si="3"/>
        <v>0</v>
      </c>
      <c r="J13" s="63"/>
      <c r="K13" s="63"/>
      <c r="L13" s="63"/>
      <c r="M13" s="63"/>
      <c r="N13" s="63"/>
      <c r="Y13" s="53" t="str">
        <f t="shared" si="0"/>
        <v>FII/HH</v>
      </c>
      <c r="Z13" s="64">
        <f t="shared" si="1"/>
        <v>0.24295971007050499</v>
      </c>
      <c r="AA13" s="64">
        <f t="shared" si="2"/>
        <v>0.16738789290979122</v>
      </c>
    </row>
    <row r="14" spans="2:28" x14ac:dyDescent="0.2">
      <c r="B14" s="68" t="s">
        <v>197</v>
      </c>
      <c r="C14" s="69">
        <v>6.5</v>
      </c>
      <c r="D14" s="67">
        <f t="shared" si="3"/>
        <v>154.15896749999999</v>
      </c>
      <c r="E14" s="67">
        <f t="shared" si="3"/>
        <v>467.32499999999999</v>
      </c>
      <c r="F14" s="67">
        <f t="shared" si="3"/>
        <v>64.112499999999997</v>
      </c>
      <c r="G14" s="67">
        <f t="shared" si="3"/>
        <v>0</v>
      </c>
      <c r="H14" s="67">
        <f t="shared" si="3"/>
        <v>0</v>
      </c>
      <c r="Y14" s="53" t="str">
        <f t="shared" si="0"/>
        <v>Wiwynn</v>
      </c>
      <c r="Z14" s="64">
        <f t="shared" si="1"/>
        <v>7.9225992414295107E-3</v>
      </c>
      <c r="AA14" s="64">
        <f t="shared" si="2"/>
        <v>1.9021351467021731E-3</v>
      </c>
      <c r="AB14" s="61"/>
    </row>
    <row r="15" spans="2:28" x14ac:dyDescent="0.2">
      <c r="B15" s="68" t="s">
        <v>198</v>
      </c>
      <c r="C15" s="69">
        <v>0</v>
      </c>
      <c r="D15" s="67">
        <f>(D4/8)-D21</f>
        <v>0</v>
      </c>
      <c r="E15" s="67">
        <f>(E4/8)-E21</f>
        <v>45.4</v>
      </c>
      <c r="F15" s="67">
        <v>90</v>
      </c>
      <c r="G15" s="67">
        <v>30</v>
      </c>
      <c r="H15" s="67">
        <v>0</v>
      </c>
      <c r="Y15" s="53" t="str">
        <f t="shared" si="0"/>
        <v>Wistron</v>
      </c>
      <c r="Z15" s="64">
        <f t="shared" si="1"/>
        <v>1.5845198482859021E-2</v>
      </c>
      <c r="AA15" s="64">
        <f t="shared" si="2"/>
        <v>2.4727756907128251E-2</v>
      </c>
      <c r="AB15" s="70"/>
    </row>
    <row r="16" spans="2:28" x14ac:dyDescent="0.2">
      <c r="B16" s="68" t="s">
        <v>199</v>
      </c>
      <c r="C16" s="69">
        <v>0</v>
      </c>
      <c r="D16" s="67"/>
      <c r="E16" s="67"/>
      <c r="F16" s="67">
        <f>+(F5/8)</f>
        <v>0</v>
      </c>
      <c r="G16" s="67">
        <v>60</v>
      </c>
      <c r="H16" s="67">
        <v>20</v>
      </c>
      <c r="Y16" s="53" t="str">
        <f t="shared" si="0"/>
        <v>Super Micro</v>
      </c>
      <c r="Z16" s="64">
        <f t="shared" si="1"/>
        <v>0.13679688023534953</v>
      </c>
      <c r="AA16" s="64">
        <f t="shared" si="2"/>
        <v>0.1109895858100718</v>
      </c>
      <c r="AB16" s="70"/>
    </row>
    <row r="17" spans="2:28" x14ac:dyDescent="0.2">
      <c r="B17" s="68" t="s">
        <v>200</v>
      </c>
      <c r="C17" s="69"/>
      <c r="D17" s="67"/>
      <c r="E17" s="67"/>
      <c r="F17" s="67"/>
      <c r="G17" s="67">
        <f>+(G6/8)</f>
        <v>6.8250000000000002</v>
      </c>
      <c r="H17" s="67">
        <v>50</v>
      </c>
      <c r="Y17" s="53" t="str">
        <f>+Y91</f>
        <v>Giga-Byte</v>
      </c>
      <c r="Z17" s="64">
        <f t="shared" si="1"/>
        <v>2.6408664138098368E-2</v>
      </c>
      <c r="AA17" s="64">
        <f t="shared" si="2"/>
        <v>3.4809073184649771E-2</v>
      </c>
      <c r="AB17" s="70"/>
    </row>
    <row r="18" spans="2:28" x14ac:dyDescent="0.2">
      <c r="B18" s="71" t="s">
        <v>201</v>
      </c>
      <c r="C18" s="70">
        <f>SUM(C19:C20)</f>
        <v>5.0000000000000009</v>
      </c>
      <c r="D18" s="72">
        <f>SUM(D19:D21)</f>
        <v>3</v>
      </c>
      <c r="E18" s="72">
        <f>SUM(E19:E21)</f>
        <v>13</v>
      </c>
      <c r="F18" s="72">
        <f>SUM(F19:F21)</f>
        <v>7</v>
      </c>
      <c r="G18" s="72">
        <f>SUM(G19:G21)</f>
        <v>1</v>
      </c>
      <c r="H18" s="72">
        <f>SUM(H19:H21)</f>
        <v>0</v>
      </c>
      <c r="Z18" s="64"/>
      <c r="AA18" s="64"/>
      <c r="AB18" s="70"/>
    </row>
    <row r="19" spans="2:28" x14ac:dyDescent="0.2">
      <c r="B19" s="73" t="s">
        <v>18</v>
      </c>
      <c r="C19" s="70">
        <v>4.3000000000000007</v>
      </c>
      <c r="D19" s="72">
        <v>1</v>
      </c>
      <c r="E19" s="72">
        <v>0</v>
      </c>
      <c r="F19" s="72">
        <v>0</v>
      </c>
      <c r="G19" s="72">
        <v>0</v>
      </c>
      <c r="H19" s="72">
        <v>0</v>
      </c>
      <c r="Y19" s="53" t="str">
        <f>+Y92</f>
        <v>Inspur</v>
      </c>
      <c r="Z19" s="64">
        <f>+VLOOKUP(Y19,$Y$83:$Z$93,2,FALSE)</f>
        <v>0.12676158786287217</v>
      </c>
      <c r="AA19" s="64">
        <f>+VLOOKUP(Y19,$Y$124:$Z$137,2,FALSE)</f>
        <v>9.7008892481810827E-2</v>
      </c>
      <c r="AB19" s="70"/>
    </row>
    <row r="20" spans="2:28" x14ac:dyDescent="0.2">
      <c r="B20" s="73" t="s">
        <v>19</v>
      </c>
      <c r="C20" s="70">
        <v>0.70000000000000018</v>
      </c>
      <c r="D20" s="72">
        <v>2</v>
      </c>
      <c r="E20" s="72">
        <v>13</v>
      </c>
      <c r="F20" s="72">
        <v>6</v>
      </c>
      <c r="G20" s="72">
        <v>0</v>
      </c>
      <c r="H20" s="72">
        <v>0</v>
      </c>
      <c r="Y20" s="53" t="s">
        <v>202</v>
      </c>
      <c r="Z20" s="64">
        <f>+IFERROR(VLOOKUP(Y20,$Y$83:$Z$93,2,FALSE),0)</f>
        <v>0</v>
      </c>
      <c r="AA20" s="64">
        <f>+VLOOKUP(Y20,$Y$124:$Z$137,2,FALSE)</f>
        <v>8.5596081601597793E-3</v>
      </c>
      <c r="AB20" s="70"/>
    </row>
    <row r="21" spans="2:28" ht="12" thickBot="1" x14ac:dyDescent="0.25">
      <c r="B21" s="73" t="s">
        <v>198</v>
      </c>
      <c r="C21" s="70">
        <v>0</v>
      </c>
      <c r="D21" s="72">
        <v>0</v>
      </c>
      <c r="E21" s="72">
        <v>0</v>
      </c>
      <c r="F21" s="72">
        <v>1</v>
      </c>
      <c r="G21" s="72">
        <v>1</v>
      </c>
      <c r="H21" s="72">
        <v>0</v>
      </c>
      <c r="Y21" s="53" t="str">
        <f>+Y93</f>
        <v>Others</v>
      </c>
      <c r="Z21" s="64">
        <f>+VLOOKUP(Y21,$Y$83:$Z$93,2,FALSE)</f>
        <v>0.12376052389789605</v>
      </c>
      <c r="AA21" s="64">
        <f>+VLOOKUP(Y21,$Y$124:$Z$137,2,FALSE)</f>
        <v>0.24361595891388091</v>
      </c>
      <c r="AB21" s="70"/>
    </row>
    <row r="22" spans="2:28" x14ac:dyDescent="0.2">
      <c r="B22" s="74" t="s">
        <v>203</v>
      </c>
      <c r="C22" s="75"/>
      <c r="D22" s="76"/>
      <c r="E22" s="77">
        <f>+SUM(E23:E25)</f>
        <v>0</v>
      </c>
      <c r="F22" s="77">
        <f>+SUM(F23:F25)</f>
        <v>28.917999999999999</v>
      </c>
      <c r="G22" s="77">
        <f>+SUM(G23:G25)</f>
        <v>77.375</v>
      </c>
      <c r="H22" s="78">
        <f>+SUM(H23:H26)</f>
        <v>99.294499999999999</v>
      </c>
      <c r="T22" s="79" t="s">
        <v>13</v>
      </c>
      <c r="U22" s="80" t="s">
        <v>14</v>
      </c>
      <c r="Y22" s="54" t="s">
        <v>204</v>
      </c>
      <c r="Z22" s="81">
        <f>SUM(Z11:Z21)</f>
        <v>0.96830960303428182</v>
      </c>
      <c r="AA22" s="81">
        <f>SUM(AA11:AA21)</f>
        <v>0.90964858053164677</v>
      </c>
      <c r="AB22" s="70"/>
    </row>
    <row r="23" spans="2:28" x14ac:dyDescent="0.2">
      <c r="B23" s="82" t="s">
        <v>22</v>
      </c>
      <c r="C23" s="69"/>
      <c r="D23" s="67"/>
      <c r="E23" s="83"/>
      <c r="F23" s="83">
        <f>+'GB200-300 Tracker'!BE40/1000</f>
        <v>24.218</v>
      </c>
      <c r="G23" s="83">
        <f>+'GB200-300 Tracker'!BF40/1000</f>
        <v>1.1153333333333322</v>
      </c>
      <c r="H23" s="84">
        <f>+'GB200-300 Tracker'!BG40/1000</f>
        <v>0</v>
      </c>
      <c r="Y23" s="54"/>
      <c r="Z23" s="81"/>
      <c r="AA23" s="81"/>
      <c r="AB23" s="70"/>
    </row>
    <row r="24" spans="2:28" x14ac:dyDescent="0.2">
      <c r="B24" s="82" t="s">
        <v>23</v>
      </c>
      <c r="C24" s="69"/>
      <c r="D24" s="67"/>
      <c r="E24" s="83"/>
      <c r="F24" s="83">
        <f>+'GB200-300 Tracker'!BE41/1000</f>
        <v>4.7</v>
      </c>
      <c r="G24" s="83">
        <f>+'GB200-300 Tracker'!BF41/1000</f>
        <v>73.259666666666675</v>
      </c>
      <c r="H24" s="84">
        <f>+'GB200-300 Tracker'!BG41/1000</f>
        <v>7.1972777777777814</v>
      </c>
      <c r="Y24" s="54"/>
      <c r="Z24" s="81"/>
      <c r="AA24" s="81"/>
      <c r="AB24" s="70"/>
    </row>
    <row r="25" spans="2:28" x14ac:dyDescent="0.2">
      <c r="B25" s="82" t="s">
        <v>387</v>
      </c>
      <c r="C25" s="69"/>
      <c r="D25" s="67"/>
      <c r="E25" s="83"/>
      <c r="F25" s="83">
        <f>+'GB200-300 Tracker'!BE42/1000</f>
        <v>0</v>
      </c>
      <c r="G25" s="83">
        <f>+'GB200-300 Tracker'!BF42/1000</f>
        <v>3</v>
      </c>
      <c r="H25" s="84">
        <f>+'GB200-300 Tracker'!BG42/1000</f>
        <v>89.097222222222214</v>
      </c>
      <c r="Y25" s="54"/>
      <c r="Z25" s="81"/>
      <c r="AA25" s="81"/>
      <c r="AB25" s="70"/>
    </row>
    <row r="26" spans="2:28" ht="12" thickBot="1" x14ac:dyDescent="0.25">
      <c r="B26" s="85" t="s">
        <v>205</v>
      </c>
      <c r="C26" s="86"/>
      <c r="D26" s="87"/>
      <c r="E26" s="88"/>
      <c r="F26" s="88">
        <f>+'GB200-300 Tracker'!BE43/1000</f>
        <v>0</v>
      </c>
      <c r="G26" s="88">
        <f>+'GB200-300 Tracker'!BF43/1000</f>
        <v>0</v>
      </c>
      <c r="H26" s="89">
        <f>+'GB200-300 Tracker'!BG43/1000</f>
        <v>3</v>
      </c>
      <c r="AB26" s="70"/>
    </row>
    <row r="27" spans="2:28" x14ac:dyDescent="0.2">
      <c r="B27" s="71" t="s">
        <v>206</v>
      </c>
      <c r="C27" s="70">
        <v>25</v>
      </c>
      <c r="D27" s="72">
        <f>+D7/4</f>
        <v>66.905950000000018</v>
      </c>
      <c r="E27" s="72">
        <f>+E7/4</f>
        <v>239.5</v>
      </c>
      <c r="F27" s="72">
        <f>+F7/4</f>
        <v>111.625</v>
      </c>
      <c r="G27" s="72">
        <f>+G7/4</f>
        <v>216.05</v>
      </c>
      <c r="H27" s="72">
        <f>+H7/4</f>
        <v>237.625</v>
      </c>
      <c r="Y27" s="56" t="s">
        <v>207</v>
      </c>
      <c r="AB27" s="70"/>
    </row>
    <row r="28" spans="2:28" x14ac:dyDescent="0.2">
      <c r="B28" s="71"/>
      <c r="D28" s="71"/>
      <c r="E28" s="71"/>
      <c r="F28" s="71"/>
      <c r="G28" s="71"/>
      <c r="H28" s="71"/>
      <c r="Y28" s="54" t="s">
        <v>194</v>
      </c>
      <c r="Z28" s="54">
        <v>2023</v>
      </c>
      <c r="AA28" s="54">
        <v>2024</v>
      </c>
      <c r="AB28" s="70"/>
    </row>
    <row r="29" spans="2:28" x14ac:dyDescent="0.2">
      <c r="B29" s="71" t="s">
        <v>208</v>
      </c>
      <c r="D29" s="71"/>
      <c r="E29" s="71"/>
      <c r="F29" s="71"/>
      <c r="G29" s="71"/>
      <c r="H29" s="71"/>
      <c r="Y29" s="53" t="s">
        <v>209</v>
      </c>
      <c r="Z29" s="64">
        <f t="shared" ref="Z29:Z35" si="4">+VLOOKUP(Y29,$Y$104:$Z$118,2,FALSE)</f>
        <v>0.17429718331144925</v>
      </c>
      <c r="AA29" s="64">
        <f t="shared" ref="AA29:AA35" si="5">+VLOOKUP(Y29,$Y$146:$Z$163,2,FALSE)</f>
        <v>0.13314946026915211</v>
      </c>
      <c r="AB29" s="70"/>
    </row>
    <row r="30" spans="2:28" x14ac:dyDescent="0.2">
      <c r="B30" s="60" t="str">
        <f t="shared" ref="B30:B35" si="6">+B11</f>
        <v>HGX+DGX (8x GPU)</v>
      </c>
      <c r="D30" s="90"/>
      <c r="E30" s="90">
        <f t="shared" ref="E30:H35" si="7">+IFERROR(E11/D11-1,"--")</f>
        <v>1.7767389908003532</v>
      </c>
      <c r="F30" s="90">
        <f t="shared" si="7"/>
        <v>-0.69354225117694612</v>
      </c>
      <c r="G30" s="90">
        <f t="shared" si="7"/>
        <v>-0.3928155791760416</v>
      </c>
      <c r="H30" s="91">
        <f t="shared" si="7"/>
        <v>-0.2844364937388193</v>
      </c>
      <c r="Y30" s="53" t="s">
        <v>210</v>
      </c>
      <c r="Z30" s="64">
        <f t="shared" si="4"/>
        <v>7.9225992414295107E-2</v>
      </c>
      <c r="AA30" s="64">
        <f t="shared" si="5"/>
        <v>5.7064054401065191E-2</v>
      </c>
      <c r="AB30" s="70"/>
    </row>
    <row r="31" spans="2:28" x14ac:dyDescent="0.2">
      <c r="B31" s="65" t="str">
        <f t="shared" si="6"/>
        <v>HGX</v>
      </c>
      <c r="C31" s="92"/>
      <c r="D31" s="93" t="str">
        <f>+IFERROR(D12/C12-1,"--")</f>
        <v>--</v>
      </c>
      <c r="E31" s="93">
        <f t="shared" si="7"/>
        <v>1.7516773376166181</v>
      </c>
      <c r="F31" s="93">
        <f t="shared" si="7"/>
        <v>-0.69942464283972883</v>
      </c>
      <c r="G31" s="93">
        <f t="shared" si="7"/>
        <v>-0.37172520074620818</v>
      </c>
      <c r="H31" s="94">
        <f t="shared" si="7"/>
        <v>-0.27704621740253033</v>
      </c>
      <c r="Y31" s="53" t="s">
        <v>211</v>
      </c>
      <c r="Z31" s="64">
        <f t="shared" si="4"/>
        <v>5.2817328276196743E-2</v>
      </c>
      <c r="AA31" s="64">
        <f t="shared" si="5"/>
        <v>6.2770459841171716E-2</v>
      </c>
      <c r="AB31" s="70"/>
    </row>
    <row r="32" spans="2:28" x14ac:dyDescent="0.2">
      <c r="B32" s="68" t="str">
        <f t="shared" si="6"/>
        <v>A100</v>
      </c>
      <c r="C32" s="92"/>
      <c r="D32" s="95">
        <f>+IFERROR(D13/C13-1,"--")</f>
        <v>-0.65405553066507371</v>
      </c>
      <c r="E32" s="95" t="s">
        <v>212</v>
      </c>
      <c r="F32" s="95" t="str">
        <f t="shared" si="7"/>
        <v>--</v>
      </c>
      <c r="G32" s="95" t="str">
        <f t="shared" si="7"/>
        <v>--</v>
      </c>
      <c r="H32" s="96" t="str">
        <f t="shared" si="7"/>
        <v>--</v>
      </c>
      <c r="Y32" s="53" t="s">
        <v>213</v>
      </c>
      <c r="Z32" s="64">
        <f t="shared" si="4"/>
        <v>0.10563465655239349</v>
      </c>
      <c r="AA32" s="64">
        <f t="shared" si="5"/>
        <v>6.6574730134576057E-2</v>
      </c>
      <c r="AB32" s="70"/>
    </row>
    <row r="33" spans="2:28" x14ac:dyDescent="0.2">
      <c r="B33" s="68" t="str">
        <f t="shared" si="6"/>
        <v>H100/H200/H20</v>
      </c>
      <c r="C33" s="92"/>
      <c r="D33" s="95">
        <f>+IFERROR(D14/C14-1,"--")</f>
        <v>22.716764230769229</v>
      </c>
      <c r="E33" s="95">
        <f>+IFERROR(E14/D14-1,"--")</f>
        <v>2.0314486894834713</v>
      </c>
      <c r="F33" s="95">
        <f t="shared" si="7"/>
        <v>-0.86280960787460548</v>
      </c>
      <c r="G33" s="95">
        <f t="shared" si="7"/>
        <v>-1</v>
      </c>
      <c r="H33" s="96" t="str">
        <f t="shared" si="7"/>
        <v>--</v>
      </c>
      <c r="Y33" s="53" t="s">
        <v>214</v>
      </c>
      <c r="Z33" s="64" t="e">
        <f t="shared" si="4"/>
        <v>#N/A</v>
      </c>
      <c r="AA33" s="64">
        <f t="shared" si="5"/>
        <v>6.0868324694469539E-2</v>
      </c>
      <c r="AB33" s="70"/>
    </row>
    <row r="34" spans="2:28" x14ac:dyDescent="0.2">
      <c r="B34" s="68" t="str">
        <f t="shared" si="6"/>
        <v>B200/B300</v>
      </c>
      <c r="C34" s="92"/>
      <c r="D34" s="95" t="str">
        <f>+IFERROR(D15/C15-1,"--")</f>
        <v>--</v>
      </c>
      <c r="E34" s="95" t="str">
        <f>+IFERROR(E15/D15-1,"--")</f>
        <v>--</v>
      </c>
      <c r="F34" s="95">
        <f t="shared" si="7"/>
        <v>0.98237885462555075</v>
      </c>
      <c r="G34" s="95">
        <f t="shared" si="7"/>
        <v>-0.66666666666666674</v>
      </c>
      <c r="H34" s="96">
        <f t="shared" si="7"/>
        <v>-1</v>
      </c>
      <c r="Y34" s="53" t="s">
        <v>215</v>
      </c>
      <c r="Z34" s="64">
        <f t="shared" si="4"/>
        <v>7.3944259586675443E-2</v>
      </c>
      <c r="AA34" s="64">
        <f t="shared" si="5"/>
        <v>8.559608160159779E-2</v>
      </c>
      <c r="AB34" s="70"/>
    </row>
    <row r="35" spans="2:28" x14ac:dyDescent="0.2">
      <c r="B35" s="68" t="str">
        <f t="shared" si="6"/>
        <v>R200</v>
      </c>
      <c r="C35" s="92"/>
      <c r="D35" s="95" t="str">
        <f>+IFERROR(D16/C16-1,"--")</f>
        <v>--</v>
      </c>
      <c r="E35" s="95" t="str">
        <f>+IFERROR(E16/D16-1,"--")</f>
        <v>--</v>
      </c>
      <c r="F35" s="95" t="str">
        <f t="shared" si="7"/>
        <v>--</v>
      </c>
      <c r="G35" s="95" t="str">
        <f t="shared" si="7"/>
        <v>--</v>
      </c>
      <c r="H35" s="96">
        <f t="shared" si="7"/>
        <v>-0.66666666666666674</v>
      </c>
      <c r="Y35" s="53" t="s">
        <v>216</v>
      </c>
      <c r="Z35" s="64">
        <f t="shared" si="4"/>
        <v>7.9225992414295107E-2</v>
      </c>
      <c r="AA35" s="64">
        <f t="shared" si="5"/>
        <v>3.8042702934043465E-2</v>
      </c>
      <c r="AB35" s="70"/>
    </row>
    <row r="36" spans="2:28" x14ac:dyDescent="0.2">
      <c r="B36" s="71" t="str">
        <f t="shared" ref="B36:B45" si="8">+B18</f>
        <v>DGX</v>
      </c>
      <c r="D36" s="97">
        <f>+IFERROR(D18/C18-1,"--")</f>
        <v>-0.40000000000000013</v>
      </c>
      <c r="E36" s="97">
        <f>+IFERROR(E18/D18-1,"--")</f>
        <v>3.333333333333333</v>
      </c>
      <c r="F36" s="97">
        <f>+IFERROR(F18/E18-1,"--")</f>
        <v>-0.46153846153846156</v>
      </c>
      <c r="G36" s="97">
        <f>+IFERROR(G18/F18-1,"--")</f>
        <v>-0.85714285714285721</v>
      </c>
      <c r="H36" s="98">
        <f>+IFERROR(H18/G18-1,"--")</f>
        <v>-1</v>
      </c>
      <c r="Y36" s="53" t="s">
        <v>217</v>
      </c>
      <c r="Z36" s="64">
        <f>+SUM(Z111:Z114)</f>
        <v>0.11091638938001316</v>
      </c>
      <c r="AA36" s="64">
        <f>+SUM(Z156:Z159)</f>
        <v>0.20923486613723905</v>
      </c>
    </row>
    <row r="37" spans="2:28" x14ac:dyDescent="0.2">
      <c r="B37" s="73" t="str">
        <f t="shared" si="8"/>
        <v>A100</v>
      </c>
      <c r="D37" s="97">
        <f t="shared" ref="D37:E45" si="9">+IFERROR(D19/C19-1,"--")</f>
        <v>-0.76744186046511631</v>
      </c>
      <c r="E37" s="97" t="s">
        <v>212</v>
      </c>
      <c r="F37" s="97" t="str">
        <f t="shared" ref="F37:H45" si="10">+IFERROR(F19/E19-1,"--")</f>
        <v>--</v>
      </c>
      <c r="G37" s="97" t="str">
        <f t="shared" si="10"/>
        <v>--</v>
      </c>
      <c r="H37" s="98" t="str">
        <f t="shared" si="10"/>
        <v>--</v>
      </c>
      <c r="Y37" s="53" t="s">
        <v>189</v>
      </c>
      <c r="Z37" s="64">
        <f>+VLOOKUP(Y37,$Y$104:$Z$118,2,FALSE)+Z110</f>
        <v>0.30967751943010857</v>
      </c>
      <c r="AA37" s="64">
        <f>+VLOOKUP(Y37,$Y$146:$Z$163,2,FALSE)+Z155</f>
        <v>0.21089923439060357</v>
      </c>
    </row>
    <row r="38" spans="2:28" x14ac:dyDescent="0.2">
      <c r="B38" s="73" t="str">
        <f t="shared" si="8"/>
        <v>H100</v>
      </c>
      <c r="D38" s="97">
        <f t="shared" si="9"/>
        <v>1.8571428571428563</v>
      </c>
      <c r="E38" s="97">
        <f t="shared" si="9"/>
        <v>5.5</v>
      </c>
      <c r="F38" s="97">
        <f t="shared" si="10"/>
        <v>-0.53846153846153844</v>
      </c>
      <c r="G38" s="97">
        <f t="shared" si="10"/>
        <v>-1</v>
      </c>
      <c r="H38" s="98" t="str">
        <f t="shared" si="10"/>
        <v>--</v>
      </c>
      <c r="Y38" s="54" t="s">
        <v>204</v>
      </c>
      <c r="Z38" s="81" t="e">
        <f>SUM(Z29:Z37)</f>
        <v>#N/A</v>
      </c>
      <c r="AA38" s="81">
        <f>SUM(AA29:AA37)</f>
        <v>0.92419991440391847</v>
      </c>
    </row>
    <row r="39" spans="2:28" x14ac:dyDescent="0.2">
      <c r="B39" s="73" t="str">
        <f t="shared" si="8"/>
        <v>B200/B300</v>
      </c>
      <c r="D39" s="97" t="str">
        <f t="shared" si="9"/>
        <v>--</v>
      </c>
      <c r="E39" s="97" t="str">
        <f t="shared" si="9"/>
        <v>--</v>
      </c>
      <c r="F39" s="97" t="str">
        <f t="shared" si="10"/>
        <v>--</v>
      </c>
      <c r="G39" s="97">
        <f t="shared" si="10"/>
        <v>0</v>
      </c>
      <c r="H39" s="98">
        <f t="shared" si="10"/>
        <v>-1</v>
      </c>
      <c r="Z39" s="64"/>
      <c r="AA39" s="64"/>
    </row>
    <row r="40" spans="2:28" x14ac:dyDescent="0.2">
      <c r="B40" s="99" t="str">
        <f t="shared" si="8"/>
        <v>Rack-scale</v>
      </c>
      <c r="C40" s="100"/>
      <c r="D40" s="93" t="str">
        <f t="shared" si="9"/>
        <v>--</v>
      </c>
      <c r="E40" s="93" t="str">
        <f t="shared" si="9"/>
        <v>--</v>
      </c>
      <c r="F40" s="93" t="str">
        <f t="shared" si="10"/>
        <v>--</v>
      </c>
      <c r="G40" s="93">
        <f t="shared" si="10"/>
        <v>1.675669133411716</v>
      </c>
      <c r="H40" s="94">
        <f t="shared" si="10"/>
        <v>0.28328917609046855</v>
      </c>
      <c r="Z40" s="64"/>
      <c r="AA40" s="64"/>
    </row>
    <row r="41" spans="2:28" x14ac:dyDescent="0.2">
      <c r="B41" s="68" t="str">
        <f t="shared" si="8"/>
        <v>GB200 NVL72</v>
      </c>
      <c r="C41" s="92"/>
      <c r="D41" s="95" t="str">
        <f t="shared" si="9"/>
        <v>--</v>
      </c>
      <c r="E41" s="95" t="str">
        <f t="shared" si="9"/>
        <v>--</v>
      </c>
      <c r="F41" s="95" t="str">
        <f t="shared" si="10"/>
        <v>--</v>
      </c>
      <c r="G41" s="95">
        <f t="shared" si="10"/>
        <v>-0.95394610069645169</v>
      </c>
      <c r="H41" s="96">
        <f t="shared" si="10"/>
        <v>-1</v>
      </c>
      <c r="Z41" s="64"/>
      <c r="AA41" s="64"/>
    </row>
    <row r="42" spans="2:28" x14ac:dyDescent="0.2">
      <c r="B42" s="68" t="str">
        <f t="shared" si="8"/>
        <v>GB300 NVL72</v>
      </c>
      <c r="C42" s="92"/>
      <c r="D42" s="95" t="str">
        <f t="shared" si="9"/>
        <v>--</v>
      </c>
      <c r="E42" s="95" t="str">
        <f t="shared" si="9"/>
        <v>--</v>
      </c>
      <c r="F42" s="95" t="str">
        <f t="shared" si="10"/>
        <v>--</v>
      </c>
      <c r="G42" s="95">
        <f t="shared" si="10"/>
        <v>14.587163120567377</v>
      </c>
      <c r="H42" s="96">
        <f t="shared" si="10"/>
        <v>-0.90175661308253585</v>
      </c>
      <c r="Z42" s="64"/>
      <c r="AA42" s="64"/>
    </row>
    <row r="43" spans="2:28" x14ac:dyDescent="0.2">
      <c r="B43" s="68" t="str">
        <f t="shared" si="8"/>
        <v>VR200 NVL72</v>
      </c>
      <c r="C43" s="92"/>
      <c r="D43" s="95" t="str">
        <f t="shared" si="9"/>
        <v>--</v>
      </c>
      <c r="E43" s="95" t="str">
        <f t="shared" si="9"/>
        <v>--</v>
      </c>
      <c r="F43" s="95" t="str">
        <f t="shared" si="10"/>
        <v>--</v>
      </c>
      <c r="G43" s="95" t="str">
        <f t="shared" si="10"/>
        <v>--</v>
      </c>
      <c r="H43" s="96">
        <f t="shared" si="10"/>
        <v>28.699074074074073</v>
      </c>
      <c r="Z43" s="64"/>
      <c r="AA43" s="64"/>
    </row>
    <row r="44" spans="2:28" x14ac:dyDescent="0.2">
      <c r="B44" s="68" t="str">
        <f t="shared" si="8"/>
        <v>VR300 NVL576</v>
      </c>
      <c r="C44" s="92"/>
      <c r="D44" s="95" t="str">
        <f t="shared" si="9"/>
        <v>--</v>
      </c>
      <c r="E44" s="95" t="str">
        <f t="shared" si="9"/>
        <v>--</v>
      </c>
      <c r="F44" s="95" t="str">
        <f t="shared" si="10"/>
        <v>--</v>
      </c>
      <c r="G44" s="95" t="str">
        <f t="shared" si="10"/>
        <v>--</v>
      </c>
      <c r="H44" s="96" t="str">
        <f t="shared" si="10"/>
        <v>--</v>
      </c>
      <c r="Z44" s="64"/>
      <c r="AA44" s="64"/>
    </row>
    <row r="45" spans="2:28" x14ac:dyDescent="0.2">
      <c r="B45" s="71" t="str">
        <f t="shared" si="8"/>
        <v>Others (L40S, etc)</v>
      </c>
      <c r="D45" s="97"/>
      <c r="E45" s="97">
        <f t="shared" si="9"/>
        <v>2.5796517350101138</v>
      </c>
      <c r="F45" s="97">
        <f t="shared" si="10"/>
        <v>-0.53392484342379953</v>
      </c>
      <c r="G45" s="97">
        <f t="shared" si="10"/>
        <v>0.93549832026875701</v>
      </c>
      <c r="H45" s="98">
        <f t="shared" si="10"/>
        <v>9.9861143253876294E-2</v>
      </c>
      <c r="Z45" s="64"/>
      <c r="AA45" s="64"/>
    </row>
    <row r="46" spans="2:28" ht="12" thickBot="1" x14ac:dyDescent="0.25">
      <c r="B46" s="71"/>
      <c r="D46" s="97"/>
      <c r="E46" s="97"/>
      <c r="F46" s="97"/>
      <c r="G46" s="97"/>
      <c r="H46" s="98"/>
      <c r="Z46" s="64"/>
      <c r="AA46" s="64"/>
    </row>
    <row r="47" spans="2:28" x14ac:dyDescent="0.2">
      <c r="B47" s="101" t="s">
        <v>218</v>
      </c>
      <c r="C47" s="102">
        <f>+C11*8</f>
        <v>836</v>
      </c>
      <c r="D47" s="103">
        <f>SUM(D2:D6)</f>
        <v>1514.6544251851851</v>
      </c>
      <c r="E47" s="103">
        <f>SUM(E2:E6)</f>
        <v>4205.8</v>
      </c>
      <c r="F47" s="103">
        <f>SUM(F2:F6)</f>
        <v>4840.7</v>
      </c>
      <c r="G47" s="103">
        <f>SUM(G2:G6)</f>
        <v>5814.9000000000005</v>
      </c>
      <c r="H47" s="104">
        <f>SUM(H2:H6)</f>
        <v>5430.2</v>
      </c>
      <c r="Z47" s="64"/>
      <c r="AA47" s="64"/>
    </row>
    <row r="48" spans="2:28" x14ac:dyDescent="0.2">
      <c r="B48" s="105" t="s">
        <v>208</v>
      </c>
      <c r="C48" s="106"/>
      <c r="D48" s="107">
        <f>+D47/C47-1</f>
        <v>0.81178758993443201</v>
      </c>
      <c r="E48" s="107">
        <f>+E47/D47-1</f>
        <v>1.7767389908003532</v>
      </c>
      <c r="F48" s="107">
        <f>+F47/E47-1</f>
        <v>0.15095820058015108</v>
      </c>
      <c r="G48" s="107">
        <f>+G47/F47-1</f>
        <v>0.20125188505794633</v>
      </c>
      <c r="H48" s="108">
        <f>+H47/G47-1</f>
        <v>-6.6157629537911378E-2</v>
      </c>
      <c r="Z48" s="64"/>
      <c r="AA48" s="64"/>
    </row>
    <row r="49" spans="2:27" x14ac:dyDescent="0.2">
      <c r="B49" s="109" t="s">
        <v>219</v>
      </c>
      <c r="C49" s="61">
        <v>10.618592003209484</v>
      </c>
      <c r="D49" s="62">
        <v>38.013019999999997</v>
      </c>
      <c r="E49" s="62">
        <v>100.68720519999997</v>
      </c>
      <c r="F49" s="62">
        <v>153.83545522999995</v>
      </c>
      <c r="G49" s="62">
        <v>212.97574667132128</v>
      </c>
      <c r="H49" s="110">
        <v>248.1946787707607</v>
      </c>
      <c r="Z49" s="64"/>
      <c r="AA49" s="64"/>
    </row>
    <row r="50" spans="2:27" ht="12" thickBot="1" x14ac:dyDescent="0.25">
      <c r="B50" s="111" t="s">
        <v>208</v>
      </c>
      <c r="C50" s="112"/>
      <c r="D50" s="113">
        <f>+D49/C49-1</f>
        <v>2.579855030545529</v>
      </c>
      <c r="E50" s="113">
        <f>+E49/D49-1</f>
        <v>1.6487557473728729</v>
      </c>
      <c r="F50" s="113">
        <f>+F49/E49-1</f>
        <v>0.52785505292781743</v>
      </c>
      <c r="G50" s="113">
        <f>+G49/F49-1</f>
        <v>0.3844386286171837</v>
      </c>
      <c r="H50" s="114">
        <f>+H49/G49-1</f>
        <v>0.1653659285148168</v>
      </c>
      <c r="Y50" s="54"/>
      <c r="Z50" s="81"/>
      <c r="AA50" s="81"/>
    </row>
    <row r="51" spans="2:27" x14ac:dyDescent="0.2">
      <c r="B51" s="115"/>
      <c r="C51" s="106"/>
      <c r="D51" s="107"/>
      <c r="E51" s="107"/>
      <c r="F51" s="107"/>
      <c r="G51" s="107"/>
      <c r="H51" s="107"/>
    </row>
    <row r="52" spans="2:27" x14ac:dyDescent="0.2">
      <c r="B52" s="116"/>
    </row>
    <row r="53" spans="2:27" x14ac:dyDescent="0.2">
      <c r="B53" s="54" t="s">
        <v>191</v>
      </c>
    </row>
    <row r="54" spans="2:27" x14ac:dyDescent="0.2">
      <c r="B54" s="53" t="s">
        <v>220</v>
      </c>
    </row>
    <row r="55" spans="2:27" x14ac:dyDescent="0.2">
      <c r="B55" s="53" t="s">
        <v>221</v>
      </c>
    </row>
    <row r="56" spans="2:27" x14ac:dyDescent="0.2">
      <c r="B56" s="53" t="s">
        <v>222</v>
      </c>
    </row>
    <row r="57" spans="2:27" x14ac:dyDescent="0.2">
      <c r="B57" s="53" t="s">
        <v>223</v>
      </c>
    </row>
    <row r="58" spans="2:27" x14ac:dyDescent="0.2">
      <c r="B58" s="53" t="s">
        <v>189</v>
      </c>
    </row>
    <row r="59" spans="2:27" ht="12" thickBot="1" x14ac:dyDescent="0.25"/>
    <row r="60" spans="2:27" x14ac:dyDescent="0.2">
      <c r="B60" s="117" t="s">
        <v>224</v>
      </c>
      <c r="C60" s="118">
        <v>14960.347605744329</v>
      </c>
      <c r="D60" s="118">
        <v>12357.341354720944</v>
      </c>
      <c r="E60" s="118">
        <v>13892.002320536822</v>
      </c>
      <c r="F60" s="118">
        <v>14220.705332725358</v>
      </c>
      <c r="G60" s="118">
        <v>14660.639439379866</v>
      </c>
      <c r="H60" s="119">
        <v>15029.698622561262</v>
      </c>
    </row>
    <row r="61" spans="2:27" ht="12" thickBot="1" x14ac:dyDescent="0.25">
      <c r="B61" s="120" t="s">
        <v>225</v>
      </c>
      <c r="C61" s="121" t="e">
        <f>+#REF!/C60</f>
        <v>#REF!</v>
      </c>
      <c r="D61" s="121" t="e">
        <f>+#REF!/D60</f>
        <v>#REF!</v>
      </c>
      <c r="E61" s="121" t="e">
        <f>+#REF!/E60</f>
        <v>#REF!</v>
      </c>
      <c r="F61" s="121" t="e">
        <f>+#REF!/F60</f>
        <v>#REF!</v>
      </c>
      <c r="G61" s="121" t="e">
        <f>+#REF!/G60</f>
        <v>#REF!</v>
      </c>
      <c r="H61" s="122" t="e">
        <f>+#REF!/H60</f>
        <v>#REF!</v>
      </c>
    </row>
    <row r="62" spans="2:27" x14ac:dyDescent="0.2">
      <c r="B62" s="123"/>
      <c r="C62" s="124"/>
      <c r="D62" s="124"/>
      <c r="E62" s="124"/>
      <c r="F62" s="124"/>
      <c r="G62" s="124"/>
      <c r="H62" s="124"/>
    </row>
    <row r="63" spans="2:27" x14ac:dyDescent="0.2">
      <c r="B63" s="125"/>
      <c r="C63" s="126"/>
      <c r="D63" s="126"/>
      <c r="E63" s="126"/>
      <c r="F63" s="127" t="s">
        <v>226</v>
      </c>
      <c r="G63" s="127" t="s">
        <v>227</v>
      </c>
      <c r="H63" s="124"/>
    </row>
    <row r="64" spans="2:27" x14ac:dyDescent="0.2">
      <c r="B64" s="128" t="s">
        <v>228</v>
      </c>
      <c r="C64" s="126"/>
      <c r="D64" s="126"/>
      <c r="E64" s="126"/>
      <c r="F64" s="129">
        <f>+F65+F66</f>
        <v>2810.096</v>
      </c>
      <c r="G64" s="129">
        <v>5500</v>
      </c>
      <c r="H64" s="124"/>
    </row>
    <row r="65" spans="2:8" x14ac:dyDescent="0.2">
      <c r="B65" s="130" t="s">
        <v>229</v>
      </c>
      <c r="C65" s="126"/>
      <c r="D65" s="126"/>
      <c r="E65" s="126"/>
      <c r="F65" s="131">
        <f>+D170*72</f>
        <v>2082.096</v>
      </c>
      <c r="G65" s="131">
        <f>+F65</f>
        <v>2082.096</v>
      </c>
      <c r="H65" s="124"/>
    </row>
    <row r="66" spans="2:8" x14ac:dyDescent="0.2">
      <c r="B66" s="130" t="s">
        <v>230</v>
      </c>
      <c r="C66" s="126"/>
      <c r="D66" s="126"/>
      <c r="E66" s="126"/>
      <c r="F66" s="131">
        <f>+(F15+F21)*8</f>
        <v>728</v>
      </c>
      <c r="G66" s="131">
        <f>+G64-G65</f>
        <v>3417.904</v>
      </c>
      <c r="H66" s="124"/>
    </row>
    <row r="67" spans="2:8" x14ac:dyDescent="0.2">
      <c r="B67" s="128"/>
      <c r="C67" s="126"/>
      <c r="D67" s="126"/>
      <c r="E67" s="126"/>
      <c r="F67" s="129"/>
      <c r="G67" s="126"/>
      <c r="H67" s="124"/>
    </row>
    <row r="68" spans="2:8" x14ac:dyDescent="0.2">
      <c r="B68" s="128" t="s">
        <v>231</v>
      </c>
      <c r="C68" s="126"/>
      <c r="D68" s="126"/>
      <c r="E68" s="126"/>
      <c r="F68" s="129"/>
      <c r="G68" s="126"/>
      <c r="H68" s="124"/>
    </row>
    <row r="69" spans="2:8" x14ac:dyDescent="0.2">
      <c r="B69" s="130" t="s">
        <v>229</v>
      </c>
      <c r="C69" s="126"/>
      <c r="D69" s="126"/>
      <c r="E69" s="126"/>
      <c r="F69" s="132">
        <f>+F65/F64</f>
        <v>0.74093411755327931</v>
      </c>
      <c r="G69" s="132">
        <f>+G65/G64</f>
        <v>0.37856290909090912</v>
      </c>
      <c r="H69" s="124"/>
    </row>
    <row r="70" spans="2:8" x14ac:dyDescent="0.2">
      <c r="B70" s="130" t="s">
        <v>230</v>
      </c>
      <c r="C70" s="126"/>
      <c r="D70" s="126"/>
      <c r="E70" s="126"/>
      <c r="F70" s="132">
        <f>+F66/F64</f>
        <v>0.25906588244672069</v>
      </c>
      <c r="G70" s="132">
        <f>+G66/G64</f>
        <v>0.62143709090909094</v>
      </c>
      <c r="H70" s="124"/>
    </row>
    <row r="71" spans="2:8" x14ac:dyDescent="0.2">
      <c r="B71" s="123"/>
      <c r="C71" s="124"/>
      <c r="D71" s="124"/>
      <c r="E71" s="124"/>
      <c r="F71" s="124"/>
      <c r="G71" s="124"/>
      <c r="H71" s="124"/>
    </row>
    <row r="72" spans="2:8" x14ac:dyDescent="0.2">
      <c r="B72" s="123" t="s">
        <v>232</v>
      </c>
      <c r="C72" s="124"/>
      <c r="D72" s="124"/>
      <c r="E72" s="124"/>
      <c r="F72" s="124"/>
      <c r="G72" s="124"/>
      <c r="H72" s="124"/>
    </row>
    <row r="73" spans="2:8" x14ac:dyDescent="0.2">
      <c r="C73" s="124"/>
      <c r="D73" s="124"/>
      <c r="E73" s="124"/>
      <c r="F73" s="124"/>
      <c r="G73" s="124"/>
      <c r="H73" s="124"/>
    </row>
    <row r="74" spans="2:8" x14ac:dyDescent="0.2">
      <c r="B74" s="123"/>
      <c r="C74" s="124"/>
      <c r="D74" s="58">
        <f>+D10</f>
        <v>2023</v>
      </c>
      <c r="E74" s="58">
        <f>+E10</f>
        <v>2024</v>
      </c>
      <c r="F74" s="58">
        <f>+F10</f>
        <v>2025</v>
      </c>
      <c r="G74" s="58">
        <f>+G10</f>
        <v>2026</v>
      </c>
      <c r="H74" s="58">
        <f>+H10</f>
        <v>2027</v>
      </c>
    </row>
    <row r="75" spans="2:8" x14ac:dyDescent="0.2">
      <c r="B75" s="54" t="s">
        <v>233</v>
      </c>
      <c r="C75" s="61">
        <f>+SUM(C77:C85)+C92</f>
        <v>0</v>
      </c>
      <c r="D75" s="61">
        <f>+((D13+D19)*D78+(D14+D20)*D79+(D15+D21)*D80+D16*D81+D23*D83+D25*D82+D27*D84)/1000</f>
        <v>47.869762831018519</v>
      </c>
      <c r="E75" s="61">
        <f>+((E13+E19)*E78+(E14+E20)*E79+(E15+E21)*E80+E16*E81+E23*E83+E25*E82+E27*E84)/1000</f>
        <v>150.46625</v>
      </c>
      <c r="F75" s="61">
        <f>+((F13+F19)*F78+(F14+F20)*F79+(F15+F21)*F80+F16*F81+F23*F83+F25*F82+F27*F84)/1000</f>
        <v>132.56127499999999</v>
      </c>
      <c r="G75" s="61">
        <f>+((G13+G19)*G78+(G14+G20)*G79+(G15+G21)*G80+G16*G81+G23*G83+G25*G82+G27*G84)/1000</f>
        <v>56.304099999999998</v>
      </c>
      <c r="H75" s="61">
        <f>+((H13+H19)*H78+(H14+H20)*H79+(H15+H21)*H80+H16*H81+H23*H83+H25*H82+H27*H84)/1000</f>
        <v>184.60874999999999</v>
      </c>
    </row>
    <row r="76" spans="2:8" x14ac:dyDescent="0.2">
      <c r="B76" s="123"/>
      <c r="C76" s="124"/>
      <c r="D76" s="124"/>
      <c r="E76" s="124"/>
      <c r="F76" s="124"/>
      <c r="G76" s="124"/>
      <c r="H76" s="124"/>
    </row>
    <row r="77" spans="2:8" x14ac:dyDescent="0.2">
      <c r="B77" s="54" t="s">
        <v>234</v>
      </c>
      <c r="C77" s="124"/>
      <c r="D77" s="124"/>
      <c r="E77" s="124"/>
      <c r="F77" s="124"/>
      <c r="G77" s="124"/>
      <c r="H77" s="124"/>
    </row>
    <row r="78" spans="2:8" x14ac:dyDescent="0.2">
      <c r="B78" s="53" t="s">
        <v>18</v>
      </c>
      <c r="C78" s="133"/>
      <c r="D78" s="70">
        <v>125</v>
      </c>
      <c r="E78" s="70">
        <v>125</v>
      </c>
      <c r="F78" s="70">
        <v>125</v>
      </c>
      <c r="G78" s="70">
        <v>125</v>
      </c>
      <c r="H78" s="70">
        <v>125</v>
      </c>
    </row>
    <row r="79" spans="2:8" x14ac:dyDescent="0.2">
      <c r="B79" s="53" t="s">
        <v>19</v>
      </c>
      <c r="C79" s="133"/>
      <c r="D79" s="70">
        <v>250</v>
      </c>
      <c r="E79" s="70">
        <v>250</v>
      </c>
      <c r="F79" s="70">
        <v>250</v>
      </c>
      <c r="G79" s="70">
        <v>250</v>
      </c>
      <c r="H79" s="70">
        <v>250</v>
      </c>
    </row>
    <row r="80" spans="2:8" x14ac:dyDescent="0.2">
      <c r="B80" s="53" t="s">
        <v>235</v>
      </c>
      <c r="C80" s="133"/>
      <c r="D80" s="70">
        <v>300</v>
      </c>
      <c r="E80" s="70">
        <v>300</v>
      </c>
      <c r="F80" s="70">
        <v>300</v>
      </c>
      <c r="G80" s="70">
        <v>300</v>
      </c>
      <c r="H80" s="70">
        <v>300</v>
      </c>
    </row>
    <row r="81" spans="2:26" x14ac:dyDescent="0.2">
      <c r="B81" s="53" t="s">
        <v>236</v>
      </c>
      <c r="C81" s="133"/>
      <c r="D81" s="70">
        <v>380</v>
      </c>
      <c r="E81" s="70">
        <v>380</v>
      </c>
      <c r="F81" s="70">
        <v>380</v>
      </c>
      <c r="G81" s="70">
        <v>380</v>
      </c>
      <c r="H81" s="70">
        <v>380</v>
      </c>
    </row>
    <row r="82" spans="2:26" x14ac:dyDescent="0.2">
      <c r="B82" s="53" t="s">
        <v>237</v>
      </c>
      <c r="C82" s="133"/>
      <c r="D82" s="70">
        <v>1800</v>
      </c>
      <c r="E82" s="70">
        <v>1800</v>
      </c>
      <c r="F82" s="70">
        <v>1800</v>
      </c>
      <c r="G82" s="70">
        <v>1800</v>
      </c>
      <c r="H82" s="70">
        <v>1800</v>
      </c>
      <c r="Y82" s="54" t="s">
        <v>191</v>
      </c>
    </row>
    <row r="83" spans="2:26" ht="15" x14ac:dyDescent="0.25">
      <c r="B83" s="53" t="s">
        <v>238</v>
      </c>
      <c r="C83" s="133"/>
      <c r="D83" s="70">
        <v>3300</v>
      </c>
      <c r="E83" s="70">
        <v>3300</v>
      </c>
      <c r="F83" s="70">
        <v>3300</v>
      </c>
      <c r="G83" s="70">
        <v>3300</v>
      </c>
      <c r="H83" s="70">
        <v>3300</v>
      </c>
      <c r="Y83" s="53" t="str">
        <f t="shared" ref="Y83:Y88" si="11">+I85</f>
        <v>Quanta</v>
      </c>
      <c r="Z83" s="63">
        <f t="shared" ref="Z83:Z88" si="12">+V85/V$96</f>
        <v>8.4507725241914772E-2</v>
      </c>
    </row>
    <row r="84" spans="2:26" ht="15" outlineLevel="1" x14ac:dyDescent="0.25">
      <c r="B84" s="53" t="s">
        <v>239</v>
      </c>
      <c r="C84" s="133"/>
      <c r="D84" s="70">
        <v>70</v>
      </c>
      <c r="E84" s="70">
        <v>70</v>
      </c>
      <c r="F84" s="70">
        <v>70</v>
      </c>
      <c r="G84" s="70">
        <v>70</v>
      </c>
      <c r="H84" s="70">
        <v>70</v>
      </c>
      <c r="I84" s="54" t="s">
        <v>240</v>
      </c>
      <c r="J84" s="134" t="s">
        <v>241</v>
      </c>
      <c r="K84" s="134" t="s">
        <v>242</v>
      </c>
      <c r="L84" s="134" t="s">
        <v>243</v>
      </c>
      <c r="M84" s="134" t="s">
        <v>244</v>
      </c>
      <c r="N84" s="134" t="s">
        <v>217</v>
      </c>
      <c r="O84" s="134" t="s">
        <v>245</v>
      </c>
      <c r="P84" s="134" t="s">
        <v>246</v>
      </c>
      <c r="Q84" s="134" t="s">
        <v>216</v>
      </c>
      <c r="R84" s="134" t="s">
        <v>247</v>
      </c>
      <c r="S84" s="134" t="s">
        <v>248</v>
      </c>
      <c r="T84" s="134" t="s">
        <v>249</v>
      </c>
      <c r="U84" s="134" t="s">
        <v>189</v>
      </c>
      <c r="V84" s="134" t="s">
        <v>204</v>
      </c>
      <c r="Y84" s="53" t="str">
        <f t="shared" si="11"/>
        <v>Inventec/ZT Systems</v>
      </c>
      <c r="Z84" s="63">
        <f t="shared" si="12"/>
        <v>0.20334671386335743</v>
      </c>
    </row>
    <row r="85" spans="2:26" ht="15" outlineLevel="1" x14ac:dyDescent="0.25">
      <c r="I85" s="53" t="s">
        <v>220</v>
      </c>
      <c r="J85" s="70">
        <v>5</v>
      </c>
      <c r="K85" s="70">
        <v>2.5</v>
      </c>
      <c r="L85" s="70">
        <v>2.5</v>
      </c>
      <c r="M85" s="70">
        <v>6</v>
      </c>
      <c r="N85" s="70">
        <v>0</v>
      </c>
      <c r="P85" s="70">
        <v>0</v>
      </c>
      <c r="U85" s="70">
        <v>0</v>
      </c>
      <c r="V85" s="70">
        <f t="shared" ref="V85:V96" si="13">+SUM(J85:U85)</f>
        <v>16</v>
      </c>
      <c r="Y85" s="53" t="str">
        <f t="shared" si="11"/>
        <v>FII/HH</v>
      </c>
      <c r="Z85" s="63">
        <f t="shared" si="12"/>
        <v>0.24295971007050499</v>
      </c>
    </row>
    <row r="86" spans="2:26" ht="15" outlineLevel="1" x14ac:dyDescent="0.25">
      <c r="B86" s="56" t="s">
        <v>250</v>
      </c>
      <c r="I86" s="53" t="s">
        <v>251</v>
      </c>
      <c r="J86" s="70">
        <v>17</v>
      </c>
      <c r="K86" s="70">
        <v>6.5</v>
      </c>
      <c r="L86" s="70"/>
      <c r="M86" s="70"/>
      <c r="N86" s="70">
        <v>9</v>
      </c>
      <c r="U86" s="70">
        <v>6</v>
      </c>
      <c r="V86" s="70">
        <f t="shared" si="13"/>
        <v>38.5</v>
      </c>
      <c r="Y86" s="53" t="str">
        <f t="shared" si="11"/>
        <v>Wiwynn</v>
      </c>
      <c r="Z86" s="63">
        <f t="shared" si="12"/>
        <v>7.9225992414295107E-3</v>
      </c>
    </row>
    <row r="87" spans="2:26" ht="15" outlineLevel="1" x14ac:dyDescent="0.25">
      <c r="B87" s="54" t="s">
        <v>252</v>
      </c>
      <c r="D87" s="61">
        <f>+D13+D14+D18</f>
        <v>189.33180314814814</v>
      </c>
      <c r="E87" s="61"/>
      <c r="I87" s="53" t="s">
        <v>223</v>
      </c>
      <c r="J87" s="70">
        <v>9</v>
      </c>
      <c r="K87" s="70">
        <v>6</v>
      </c>
      <c r="L87" s="70">
        <v>7</v>
      </c>
      <c r="M87" s="70"/>
      <c r="N87" s="70">
        <v>1</v>
      </c>
      <c r="Q87" s="53">
        <v>15</v>
      </c>
      <c r="U87" s="70">
        <v>8</v>
      </c>
      <c r="V87" s="70">
        <f t="shared" si="13"/>
        <v>46</v>
      </c>
      <c r="Y87" s="53" t="str">
        <f t="shared" si="11"/>
        <v>Wistron</v>
      </c>
      <c r="Z87" s="63">
        <f t="shared" si="12"/>
        <v>1.5845198482859021E-2</v>
      </c>
    </row>
    <row r="88" spans="2:26" ht="15" outlineLevel="1" x14ac:dyDescent="0.25">
      <c r="B88" s="53" t="s">
        <v>209</v>
      </c>
      <c r="D88" s="70">
        <v>33</v>
      </c>
      <c r="E88" s="70"/>
      <c r="I88" s="53" t="s">
        <v>222</v>
      </c>
      <c r="J88" s="70">
        <v>0.5</v>
      </c>
      <c r="K88" s="70"/>
      <c r="L88" s="70">
        <v>0</v>
      </c>
      <c r="M88" s="70">
        <v>0</v>
      </c>
      <c r="N88" s="70"/>
      <c r="U88" s="70">
        <v>1</v>
      </c>
      <c r="V88" s="70">
        <f t="shared" si="13"/>
        <v>1.5</v>
      </c>
      <c r="Y88" s="53" t="str">
        <f t="shared" si="11"/>
        <v>Super Micro</v>
      </c>
      <c r="Z88" s="63">
        <f t="shared" si="12"/>
        <v>0.13679688023534953</v>
      </c>
    </row>
    <row r="89" spans="2:26" ht="15" outlineLevel="1" x14ac:dyDescent="0.25">
      <c r="B89" s="53" t="s">
        <v>210</v>
      </c>
      <c r="D89" s="70">
        <v>15</v>
      </c>
      <c r="E89" s="70"/>
      <c r="I89" s="53" t="s">
        <v>253</v>
      </c>
      <c r="J89" s="70"/>
      <c r="K89" s="70"/>
      <c r="L89" s="70"/>
      <c r="M89" s="70"/>
      <c r="N89" s="70"/>
      <c r="U89" s="70">
        <f>+D18</f>
        <v>3</v>
      </c>
      <c r="V89" s="70">
        <f t="shared" si="13"/>
        <v>3</v>
      </c>
      <c r="Y89" s="53" t="str">
        <f>+I91</f>
        <v>Dell</v>
      </c>
      <c r="Z89" s="63">
        <f>+V91/V$96</f>
        <v>2.6408664138098368E-2</v>
      </c>
    </row>
    <row r="90" spans="2:26" ht="15" outlineLevel="1" x14ac:dyDescent="0.25">
      <c r="B90" s="53" t="s">
        <v>211</v>
      </c>
      <c r="D90" s="70">
        <v>10</v>
      </c>
      <c r="E90" s="70"/>
      <c r="I90" s="53" t="s">
        <v>254</v>
      </c>
      <c r="J90" s="70"/>
      <c r="K90" s="70"/>
      <c r="L90" s="70"/>
      <c r="M90" s="70">
        <v>11</v>
      </c>
      <c r="N90" s="70"/>
      <c r="O90" s="53">
        <v>8</v>
      </c>
      <c r="P90" s="53">
        <v>5</v>
      </c>
      <c r="Q90" s="53">
        <v>0</v>
      </c>
      <c r="S90" s="53">
        <v>0.9</v>
      </c>
      <c r="U90" s="70">
        <v>1</v>
      </c>
      <c r="V90" s="70">
        <f t="shared" si="13"/>
        <v>25.9</v>
      </c>
      <c r="Y90" s="53" t="str">
        <f>+I92</f>
        <v>HPE</v>
      </c>
      <c r="Z90" s="63">
        <f>+V92/V$96</f>
        <v>5.2817328276196732E-3</v>
      </c>
    </row>
    <row r="91" spans="2:26" ht="15" outlineLevel="1" x14ac:dyDescent="0.25">
      <c r="B91" s="53" t="s">
        <v>213</v>
      </c>
      <c r="D91" s="70">
        <v>20</v>
      </c>
      <c r="E91" s="70"/>
      <c r="I91" s="53" t="s">
        <v>214</v>
      </c>
      <c r="O91" s="53">
        <v>2</v>
      </c>
      <c r="U91" s="135">
        <v>3</v>
      </c>
      <c r="V91" s="55">
        <f t="shared" si="13"/>
        <v>5</v>
      </c>
      <c r="Y91" s="53" t="str">
        <f>+I93</f>
        <v>Giga-Byte</v>
      </c>
      <c r="Z91" s="63">
        <f>+V93/V$96</f>
        <v>2.6408664138098368E-2</v>
      </c>
    </row>
    <row r="92" spans="2:26" ht="15" outlineLevel="1" x14ac:dyDescent="0.25">
      <c r="B92" s="53" t="s">
        <v>255</v>
      </c>
      <c r="D92" s="70">
        <f>+D87-SUM(D88:D91)</f>
        <v>111.33180314814814</v>
      </c>
      <c r="E92" s="70"/>
      <c r="I92" s="53" t="s">
        <v>256</v>
      </c>
      <c r="U92" s="70">
        <v>1</v>
      </c>
      <c r="V92" s="70">
        <f t="shared" si="13"/>
        <v>1</v>
      </c>
      <c r="Y92" s="53" t="str">
        <f>+I94</f>
        <v>Inspur</v>
      </c>
      <c r="Z92" s="63">
        <f>+V94/V$96</f>
        <v>0.12676158786287217</v>
      </c>
    </row>
    <row r="93" spans="2:26" ht="15" outlineLevel="1" x14ac:dyDescent="0.25">
      <c r="B93" s="116" t="s">
        <v>215</v>
      </c>
      <c r="D93" s="70">
        <v>14</v>
      </c>
      <c r="E93" s="70"/>
      <c r="I93" s="53" t="s">
        <v>257</v>
      </c>
      <c r="J93" s="70"/>
      <c r="K93" s="70"/>
      <c r="L93" s="70"/>
      <c r="M93" s="70"/>
      <c r="N93" s="70"/>
      <c r="O93" s="53">
        <v>4</v>
      </c>
      <c r="T93" s="55">
        <f>+D103</f>
        <v>0.3</v>
      </c>
      <c r="U93" s="55">
        <v>0.7</v>
      </c>
      <c r="V93" s="55">
        <f t="shared" si="13"/>
        <v>5</v>
      </c>
      <c r="Y93" s="53" t="str">
        <f>+I95</f>
        <v>Others</v>
      </c>
      <c r="Z93" s="63">
        <f>+V95/V$96</f>
        <v>0.12376052389789605</v>
      </c>
    </row>
    <row r="94" spans="2:26" outlineLevel="1" x14ac:dyDescent="0.2">
      <c r="B94" s="116" t="s">
        <v>258</v>
      </c>
      <c r="D94" s="70">
        <v>3</v>
      </c>
      <c r="E94" s="70"/>
      <c r="I94" s="53" t="s">
        <v>259</v>
      </c>
      <c r="J94" s="70"/>
      <c r="K94" s="70"/>
      <c r="L94" s="70"/>
      <c r="M94" s="70"/>
      <c r="N94" s="70">
        <v>10</v>
      </c>
      <c r="U94" s="70">
        <v>14</v>
      </c>
      <c r="V94" s="70">
        <f t="shared" si="13"/>
        <v>24</v>
      </c>
    </row>
    <row r="95" spans="2:26" outlineLevel="1" x14ac:dyDescent="0.2">
      <c r="B95" s="116" t="s">
        <v>260</v>
      </c>
      <c r="D95" s="70">
        <v>3</v>
      </c>
      <c r="E95" s="70"/>
      <c r="I95" s="53" t="s">
        <v>189</v>
      </c>
      <c r="J95" s="55">
        <f t="shared" ref="J95:Q95" si="14">+J96-SUM(J85:J94)</f>
        <v>1.5</v>
      </c>
      <c r="K95" s="55">
        <f t="shared" si="14"/>
        <v>0</v>
      </c>
      <c r="L95" s="55">
        <f t="shared" si="14"/>
        <v>0.5</v>
      </c>
      <c r="M95" s="55">
        <f t="shared" si="14"/>
        <v>3</v>
      </c>
      <c r="N95" s="55">
        <f t="shared" si="14"/>
        <v>1</v>
      </c>
      <c r="O95" s="70">
        <f t="shared" si="14"/>
        <v>0</v>
      </c>
      <c r="P95" s="70">
        <f t="shared" si="14"/>
        <v>1</v>
      </c>
      <c r="Q95" s="70">
        <f t="shared" si="14"/>
        <v>0</v>
      </c>
      <c r="R95" s="53">
        <v>0</v>
      </c>
      <c r="S95" s="70">
        <f>+S96-SUM(S85:S94)</f>
        <v>0</v>
      </c>
      <c r="T95" s="70">
        <f>+T96-SUM(T85:T94)</f>
        <v>0</v>
      </c>
      <c r="U95" s="55">
        <f>+U96-SUM(U85:U94)</f>
        <v>16.431803148148141</v>
      </c>
      <c r="V95" s="70">
        <f t="shared" si="13"/>
        <v>23.431803148148141</v>
      </c>
    </row>
    <row r="96" spans="2:26" outlineLevel="1" x14ac:dyDescent="0.2">
      <c r="B96" s="116" t="s">
        <v>261</v>
      </c>
      <c r="D96" s="70">
        <v>5</v>
      </c>
      <c r="E96" s="70"/>
      <c r="I96" s="54" t="s">
        <v>204</v>
      </c>
      <c r="J96" s="61">
        <f>+D88</f>
        <v>33</v>
      </c>
      <c r="K96" s="61">
        <f>+D89</f>
        <v>15</v>
      </c>
      <c r="L96" s="61">
        <f>+D90</f>
        <v>10</v>
      </c>
      <c r="M96" s="61">
        <f>+D91</f>
        <v>20</v>
      </c>
      <c r="N96" s="61">
        <f>+SUM(D94:D97)</f>
        <v>21</v>
      </c>
      <c r="O96" s="61">
        <f>+D93</f>
        <v>14</v>
      </c>
      <c r="P96" s="61">
        <f>+D99+D98</f>
        <v>6</v>
      </c>
      <c r="Q96" s="61">
        <f>+D100</f>
        <v>15</v>
      </c>
      <c r="R96" s="61">
        <v>0</v>
      </c>
      <c r="S96" s="61">
        <f>+D102</f>
        <v>0.9</v>
      </c>
      <c r="T96" s="61">
        <f>+D103</f>
        <v>0.3</v>
      </c>
      <c r="U96" s="61">
        <f>+D92-SUM(N96:T96)</f>
        <v>54.131803148148144</v>
      </c>
      <c r="V96" s="61">
        <f t="shared" si="13"/>
        <v>189.33180314814817</v>
      </c>
    </row>
    <row r="97" spans="2:26" outlineLevel="1" x14ac:dyDescent="0.2">
      <c r="B97" s="116" t="s">
        <v>262</v>
      </c>
      <c r="D97" s="70">
        <v>10</v>
      </c>
      <c r="E97" s="70"/>
    </row>
    <row r="98" spans="2:26" outlineLevel="1" x14ac:dyDescent="0.2">
      <c r="B98" s="116" t="s">
        <v>263</v>
      </c>
      <c r="D98" s="70">
        <v>1</v>
      </c>
      <c r="E98" s="70"/>
    </row>
    <row r="99" spans="2:26" outlineLevel="1" x14ac:dyDescent="0.2">
      <c r="B99" s="116" t="s">
        <v>264</v>
      </c>
      <c r="D99" s="70">
        <v>5</v>
      </c>
      <c r="E99" s="70"/>
    </row>
    <row r="100" spans="2:26" outlineLevel="1" x14ac:dyDescent="0.2">
      <c r="B100" s="116" t="s">
        <v>216</v>
      </c>
      <c r="D100" s="70">
        <v>15</v>
      </c>
      <c r="E100" s="70"/>
    </row>
    <row r="101" spans="2:26" outlineLevel="1" x14ac:dyDescent="0.2">
      <c r="B101" s="116" t="s">
        <v>265</v>
      </c>
      <c r="D101" s="70">
        <v>1.5</v>
      </c>
    </row>
    <row r="102" spans="2:26" outlineLevel="1" x14ac:dyDescent="0.2">
      <c r="B102" s="116" t="s">
        <v>266</v>
      </c>
      <c r="D102" s="70">
        <v>0.9</v>
      </c>
    </row>
    <row r="103" spans="2:26" outlineLevel="1" x14ac:dyDescent="0.2">
      <c r="B103" s="116" t="s">
        <v>267</v>
      </c>
      <c r="D103" s="70">
        <v>0.3</v>
      </c>
      <c r="Y103" s="54" t="s">
        <v>194</v>
      </c>
    </row>
    <row r="104" spans="2:26" ht="15" outlineLevel="1" x14ac:dyDescent="0.25">
      <c r="B104" s="116" t="s">
        <v>189</v>
      </c>
      <c r="D104" s="70">
        <f>+D92-SUM(D93:D103)</f>
        <v>52.631803148148144</v>
      </c>
      <c r="Y104" s="53" t="str">
        <f>+B107</f>
        <v>Microsoft</v>
      </c>
      <c r="Z104" s="63">
        <f t="shared" ref="Z104:Z109" si="15">+VLOOKUP(Y104,$B$107:$D$122,3,FALSE)</f>
        <v>0.17429718331144925</v>
      </c>
    </row>
    <row r="105" spans="2:26" ht="15" outlineLevel="1" x14ac:dyDescent="0.25">
      <c r="Y105" s="53" t="str">
        <f>+B108</f>
        <v>Google</v>
      </c>
      <c r="Z105" s="63">
        <f t="shared" si="15"/>
        <v>7.9225992414295107E-2</v>
      </c>
    </row>
    <row r="106" spans="2:26" ht="15" outlineLevel="1" x14ac:dyDescent="0.25">
      <c r="B106" s="54" t="s">
        <v>194</v>
      </c>
      <c r="E106" s="70"/>
      <c r="Y106" s="53" t="str">
        <f>+B109</f>
        <v>Amazon</v>
      </c>
      <c r="Z106" s="63">
        <f t="shared" si="15"/>
        <v>5.2817328276196743E-2</v>
      </c>
    </row>
    <row r="107" spans="2:26" ht="15" outlineLevel="1" x14ac:dyDescent="0.25">
      <c r="B107" s="53" t="str">
        <f>+B88</f>
        <v>Microsoft</v>
      </c>
      <c r="D107" s="63">
        <f>+D88/D$87</f>
        <v>0.17429718331144925</v>
      </c>
      <c r="Y107" s="53" t="str">
        <f>+B110</f>
        <v>Meta Platforms</v>
      </c>
      <c r="Z107" s="63">
        <f t="shared" si="15"/>
        <v>0.10563465655239349</v>
      </c>
    </row>
    <row r="108" spans="2:26" ht="15" outlineLevel="1" x14ac:dyDescent="0.25">
      <c r="B108" s="53" t="str">
        <f>+B89</f>
        <v>Google</v>
      </c>
      <c r="D108" s="63">
        <f>+D89/D$87</f>
        <v>7.9225992414295107E-2</v>
      </c>
      <c r="Y108" s="53" t="str">
        <f>+B111</f>
        <v>Coreweave</v>
      </c>
      <c r="Z108" s="63">
        <f t="shared" si="15"/>
        <v>7.3944259586675443E-2</v>
      </c>
    </row>
    <row r="109" spans="2:26" ht="15" outlineLevel="1" x14ac:dyDescent="0.25">
      <c r="B109" s="53" t="str">
        <f>+B90</f>
        <v>Amazon</v>
      </c>
      <c r="D109" s="63">
        <f>+D90/D$87</f>
        <v>5.2817328276196743E-2</v>
      </c>
      <c r="E109" s="63"/>
      <c r="Y109" s="53" t="str">
        <f>+B118</f>
        <v>Oracle</v>
      </c>
      <c r="Z109" s="63">
        <f t="shared" si="15"/>
        <v>7.9225992414295107E-2</v>
      </c>
    </row>
    <row r="110" spans="2:26" ht="15" outlineLevel="1" x14ac:dyDescent="0.25">
      <c r="B110" s="53" t="str">
        <f>+B91</f>
        <v>Meta Platforms</v>
      </c>
      <c r="D110" s="63">
        <f>+D91/D$87</f>
        <v>0.10563465655239349</v>
      </c>
      <c r="E110" s="63"/>
      <c r="Y110" s="53" t="s">
        <v>246</v>
      </c>
      <c r="Z110" s="63">
        <f>+D116+D117</f>
        <v>3.1690396965718043E-2</v>
      </c>
    </row>
    <row r="111" spans="2:26" ht="15" outlineLevel="1" x14ac:dyDescent="0.25">
      <c r="B111" s="116" t="str">
        <f t="shared" ref="B111:B122" si="16">+B93</f>
        <v>Coreweave</v>
      </c>
      <c r="D111" s="63">
        <f t="shared" ref="D111:D122" si="17">+D93/D$87</f>
        <v>7.3944259586675443E-2</v>
      </c>
      <c r="E111" s="63"/>
      <c r="Y111" s="53" t="str">
        <f>+B115</f>
        <v>ByteDance</v>
      </c>
      <c r="Z111" s="63">
        <f>+VLOOKUP(Y111,$B$107:$D$122,3,FALSE)</f>
        <v>5.2817328276196743E-2</v>
      </c>
    </row>
    <row r="112" spans="2:26" ht="15" outlineLevel="1" x14ac:dyDescent="0.25">
      <c r="B112" s="116" t="str">
        <f t="shared" si="16"/>
        <v>Baidu</v>
      </c>
      <c r="D112" s="63">
        <f t="shared" si="17"/>
        <v>1.5845198482859021E-2</v>
      </c>
      <c r="E112" s="63"/>
      <c r="Y112" s="53" t="str">
        <f>+B112</f>
        <v>Baidu</v>
      </c>
      <c r="Z112" s="63">
        <f>+VLOOKUP(Y112,$B$107:$D$122,3,FALSE)</f>
        <v>1.5845198482859021E-2</v>
      </c>
    </row>
    <row r="113" spans="2:27" ht="15" outlineLevel="1" x14ac:dyDescent="0.25">
      <c r="B113" s="116" t="str">
        <f t="shared" si="16"/>
        <v>Alibaba</v>
      </c>
      <c r="D113" s="63">
        <f t="shared" si="17"/>
        <v>1.5845198482859021E-2</v>
      </c>
      <c r="E113" s="63"/>
      <c r="Y113" s="53" t="str">
        <f>+B113</f>
        <v>Alibaba</v>
      </c>
      <c r="Z113" s="63">
        <f>+VLOOKUP(Y113,$B$107:$D$122,3,FALSE)</f>
        <v>1.5845198482859021E-2</v>
      </c>
    </row>
    <row r="114" spans="2:27" ht="15" outlineLevel="1" x14ac:dyDescent="0.25">
      <c r="B114" s="116" t="str">
        <f t="shared" si="16"/>
        <v>Tencent</v>
      </c>
      <c r="D114" s="63">
        <f t="shared" si="17"/>
        <v>2.6408664138098371E-2</v>
      </c>
      <c r="E114" s="63"/>
      <c r="M114" s="54"/>
      <c r="N114" s="54"/>
      <c r="O114" s="54"/>
      <c r="Y114" s="53" t="str">
        <f>+B114</f>
        <v>Tencent</v>
      </c>
      <c r="Z114" s="63">
        <f>+VLOOKUP(Y114,$B$107:$D$122,3,FALSE)</f>
        <v>2.6408664138098371E-2</v>
      </c>
    </row>
    <row r="115" spans="2:27" ht="15" outlineLevel="1" x14ac:dyDescent="0.25">
      <c r="B115" s="116" t="str">
        <f t="shared" si="16"/>
        <v>ByteDance</v>
      </c>
      <c r="D115" s="63">
        <f t="shared" si="17"/>
        <v>5.2817328276196743E-2</v>
      </c>
      <c r="E115" s="63"/>
      <c r="N115" s="70"/>
      <c r="O115" s="70"/>
      <c r="Y115" s="53" t="s">
        <v>265</v>
      </c>
      <c r="Z115" s="64">
        <f>+D119</f>
        <v>7.9225992414295107E-3</v>
      </c>
    </row>
    <row r="116" spans="2:27" ht="15" outlineLevel="1" x14ac:dyDescent="0.25">
      <c r="B116" s="116" t="str">
        <f t="shared" si="16"/>
        <v>X</v>
      </c>
      <c r="D116" s="63">
        <f t="shared" si="17"/>
        <v>5.2817328276196741E-3</v>
      </c>
      <c r="E116" s="63"/>
      <c r="N116" s="70"/>
      <c r="O116" s="70"/>
      <c r="Y116" s="53" t="s">
        <v>266</v>
      </c>
      <c r="Z116" s="64">
        <f>+D120</f>
        <v>4.7535595448577068E-3</v>
      </c>
    </row>
    <row r="117" spans="2:27" ht="15" outlineLevel="1" x14ac:dyDescent="0.25">
      <c r="B117" s="116" t="str">
        <f t="shared" si="16"/>
        <v>Tesla</v>
      </c>
      <c r="D117" s="63">
        <f t="shared" si="17"/>
        <v>2.6408664138098371E-2</v>
      </c>
      <c r="E117" s="63"/>
      <c r="N117" s="70"/>
      <c r="O117" s="70"/>
      <c r="Y117" s="53" t="s">
        <v>267</v>
      </c>
      <c r="Z117" s="64">
        <f>+D121</f>
        <v>1.5845198482859022E-3</v>
      </c>
      <c r="AA117" s="63"/>
    </row>
    <row r="118" spans="2:27" ht="15" outlineLevel="1" x14ac:dyDescent="0.25">
      <c r="B118" s="116" t="str">
        <f t="shared" si="16"/>
        <v>Oracle</v>
      </c>
      <c r="D118" s="63">
        <f t="shared" si="17"/>
        <v>7.9225992414295107E-2</v>
      </c>
      <c r="E118" s="63"/>
      <c r="N118" s="70"/>
      <c r="O118" s="70"/>
      <c r="Y118" s="53" t="str">
        <f>+B122</f>
        <v>Others</v>
      </c>
      <c r="Z118" s="63">
        <f>1-SUM(Z104:Z117)</f>
        <v>0.2779871224643905</v>
      </c>
      <c r="AA118" s="63"/>
    </row>
    <row r="119" spans="2:27" ht="15" outlineLevel="1" x14ac:dyDescent="0.25">
      <c r="B119" s="116" t="str">
        <f t="shared" si="16"/>
        <v>Lambda</v>
      </c>
      <c r="D119" s="63">
        <f t="shared" si="17"/>
        <v>7.9225992414295107E-3</v>
      </c>
      <c r="E119" s="63"/>
      <c r="N119" s="70"/>
      <c r="O119" s="70"/>
      <c r="AA119" s="63"/>
    </row>
    <row r="120" spans="2:27" ht="15" outlineLevel="1" x14ac:dyDescent="0.25">
      <c r="B120" s="116" t="str">
        <f t="shared" si="16"/>
        <v>Applied Digital</v>
      </c>
      <c r="D120" s="63">
        <f t="shared" si="17"/>
        <v>4.7535595448577068E-3</v>
      </c>
      <c r="E120" s="63"/>
      <c r="N120" s="70"/>
      <c r="O120" s="70"/>
      <c r="AA120" s="63"/>
    </row>
    <row r="121" spans="2:27" ht="15" outlineLevel="1" x14ac:dyDescent="0.25">
      <c r="B121" s="116" t="str">
        <f t="shared" si="16"/>
        <v>Taiga Cloud</v>
      </c>
      <c r="D121" s="63">
        <f t="shared" si="17"/>
        <v>1.5845198482859022E-3</v>
      </c>
      <c r="E121" s="63"/>
      <c r="N121" s="70"/>
      <c r="O121" s="70"/>
      <c r="AA121" s="63"/>
    </row>
    <row r="122" spans="2:27" ht="15" outlineLevel="1" x14ac:dyDescent="0.25">
      <c r="B122" s="116" t="str">
        <f t="shared" si="16"/>
        <v>Others</v>
      </c>
      <c r="D122" s="63">
        <f t="shared" si="17"/>
        <v>0.27798712246439056</v>
      </c>
      <c r="E122" s="63"/>
      <c r="N122" s="70"/>
      <c r="O122" s="70"/>
    </row>
    <row r="123" spans="2:27" ht="15" outlineLevel="1" x14ac:dyDescent="0.25">
      <c r="B123" s="116"/>
      <c r="D123" s="63"/>
      <c r="E123" s="63"/>
      <c r="Y123" s="54" t="s">
        <v>191</v>
      </c>
    </row>
    <row r="124" spans="2:27" ht="15" x14ac:dyDescent="0.25">
      <c r="B124" s="56" t="s">
        <v>268</v>
      </c>
      <c r="E124" s="63"/>
      <c r="Y124" s="53" t="str">
        <f t="shared" ref="Y124:Y137" si="18">+I127</f>
        <v>Quanta</v>
      </c>
      <c r="Z124" s="63">
        <f t="shared" ref="Z124:Z137" si="19">+V127/V$141</f>
        <v>0.13124732512244994</v>
      </c>
    </row>
    <row r="125" spans="2:27" ht="15" x14ac:dyDescent="0.25">
      <c r="B125" s="54" t="s">
        <v>269</v>
      </c>
      <c r="D125" s="61">
        <f>+E13+E14+E18+E15</f>
        <v>525.72500000000002</v>
      </c>
      <c r="E125" s="63"/>
      <c r="Y125" s="53" t="str">
        <f t="shared" si="18"/>
        <v>Inventec/ZT Systems</v>
      </c>
      <c r="Z125" s="63">
        <f t="shared" si="19"/>
        <v>8.9400351895002131E-2</v>
      </c>
    </row>
    <row r="126" spans="2:27" ht="15" outlineLevel="1" x14ac:dyDescent="0.25">
      <c r="B126" s="53" t="s">
        <v>209</v>
      </c>
      <c r="D126" s="70">
        <v>70</v>
      </c>
      <c r="E126" s="63"/>
      <c r="I126" s="54" t="s">
        <v>240</v>
      </c>
      <c r="J126" s="134" t="s">
        <v>241</v>
      </c>
      <c r="K126" s="134" t="s">
        <v>242</v>
      </c>
      <c r="L126" s="134" t="s">
        <v>243</v>
      </c>
      <c r="M126" s="134" t="s">
        <v>244</v>
      </c>
      <c r="N126" s="134" t="s">
        <v>217</v>
      </c>
      <c r="O126" s="134" t="s">
        <v>245</v>
      </c>
      <c r="P126" s="134" t="s">
        <v>246</v>
      </c>
      <c r="Q126" s="134" t="s">
        <v>216</v>
      </c>
      <c r="R126" s="134" t="s">
        <v>247</v>
      </c>
      <c r="S126" s="134" t="s">
        <v>248</v>
      </c>
      <c r="T126" s="134" t="s">
        <v>249</v>
      </c>
      <c r="U126" s="134" t="s">
        <v>189</v>
      </c>
      <c r="V126" s="134" t="s">
        <v>204</v>
      </c>
      <c r="Y126" s="53" t="str">
        <f t="shared" si="18"/>
        <v>FII/HH</v>
      </c>
      <c r="Z126" s="63">
        <f t="shared" si="19"/>
        <v>0.16738789290979122</v>
      </c>
    </row>
    <row r="127" spans="2:27" ht="15" outlineLevel="1" x14ac:dyDescent="0.25">
      <c r="B127" s="53" t="s">
        <v>210</v>
      </c>
      <c r="D127" s="70">
        <v>30</v>
      </c>
      <c r="E127" s="63"/>
      <c r="I127" s="53" t="s">
        <v>220</v>
      </c>
      <c r="J127" s="70">
        <v>34</v>
      </c>
      <c r="K127" s="70">
        <v>7</v>
      </c>
      <c r="L127" s="70">
        <v>8</v>
      </c>
      <c r="M127" s="70">
        <v>20</v>
      </c>
      <c r="N127" s="70">
        <v>0</v>
      </c>
      <c r="P127" s="70">
        <v>0</v>
      </c>
      <c r="U127" s="70">
        <v>0</v>
      </c>
      <c r="V127" s="70">
        <f t="shared" ref="V127:V141" si="20">+SUM(J127:U127)</f>
        <v>69</v>
      </c>
      <c r="Y127" s="53" t="str">
        <f t="shared" si="18"/>
        <v>Wiwynn</v>
      </c>
      <c r="Z127" s="63">
        <f t="shared" si="19"/>
        <v>1.9021351467021731E-3</v>
      </c>
    </row>
    <row r="128" spans="2:27" ht="15" outlineLevel="1" x14ac:dyDescent="0.25">
      <c r="B128" s="53" t="s">
        <v>211</v>
      </c>
      <c r="D128" s="70">
        <v>33</v>
      </c>
      <c r="I128" s="53" t="s">
        <v>251</v>
      </c>
      <c r="J128" s="70">
        <v>26</v>
      </c>
      <c r="K128" s="70">
        <v>18</v>
      </c>
      <c r="L128" s="70"/>
      <c r="M128" s="70"/>
      <c r="N128" s="70">
        <v>3</v>
      </c>
      <c r="U128" s="70">
        <v>0</v>
      </c>
      <c r="V128" s="70">
        <f t="shared" si="20"/>
        <v>47</v>
      </c>
      <c r="Y128" s="53" t="str">
        <f t="shared" si="18"/>
        <v>Wistron</v>
      </c>
      <c r="Z128" s="63">
        <f t="shared" si="19"/>
        <v>2.4727756907128251E-2</v>
      </c>
    </row>
    <row r="129" spans="2:26" ht="15" outlineLevel="1" x14ac:dyDescent="0.25">
      <c r="B129" s="53" t="s">
        <v>213</v>
      </c>
      <c r="D129" s="70">
        <v>35</v>
      </c>
      <c r="I129" s="53" t="s">
        <v>223</v>
      </c>
      <c r="J129" s="70">
        <v>10</v>
      </c>
      <c r="K129" s="70">
        <v>5</v>
      </c>
      <c r="L129" s="70">
        <v>25</v>
      </c>
      <c r="M129" s="70"/>
      <c r="N129" s="70">
        <v>1</v>
      </c>
      <c r="Q129" s="53">
        <v>15</v>
      </c>
      <c r="R129" s="53">
        <v>20</v>
      </c>
      <c r="U129" s="70">
        <v>12</v>
      </c>
      <c r="V129" s="70">
        <f t="shared" si="20"/>
        <v>88</v>
      </c>
      <c r="Y129" s="53" t="str">
        <f t="shared" si="18"/>
        <v>Super Micro</v>
      </c>
      <c r="Z129" s="63">
        <f t="shared" si="19"/>
        <v>0.1109895858100718</v>
      </c>
    </row>
    <row r="130" spans="2:26" ht="15" outlineLevel="1" x14ac:dyDescent="0.25">
      <c r="B130" s="53" t="s">
        <v>255</v>
      </c>
      <c r="D130" s="70">
        <f>+D125-SUM(D126:D129)</f>
        <v>357.72500000000002</v>
      </c>
      <c r="I130" s="53" t="s">
        <v>222</v>
      </c>
      <c r="J130" s="70">
        <v>0</v>
      </c>
      <c r="K130" s="70"/>
      <c r="L130" s="70">
        <v>0</v>
      </c>
      <c r="M130" s="70">
        <v>0</v>
      </c>
      <c r="N130" s="70"/>
      <c r="U130" s="70">
        <v>1</v>
      </c>
      <c r="V130" s="70">
        <f t="shared" si="20"/>
        <v>1</v>
      </c>
      <c r="Y130" s="53" t="str">
        <f t="shared" si="18"/>
        <v>Dell</v>
      </c>
      <c r="Z130" s="63">
        <f t="shared" si="19"/>
        <v>6.0868324694469539E-2</v>
      </c>
    </row>
    <row r="131" spans="2:26" ht="15" outlineLevel="1" x14ac:dyDescent="0.25">
      <c r="B131" s="116" t="s">
        <v>215</v>
      </c>
      <c r="D131" s="70">
        <v>45</v>
      </c>
      <c r="I131" s="53" t="s">
        <v>253</v>
      </c>
      <c r="J131" s="70"/>
      <c r="K131" s="70"/>
      <c r="L131" s="70"/>
      <c r="M131" s="70"/>
      <c r="N131" s="70"/>
      <c r="Q131" s="53">
        <v>5</v>
      </c>
      <c r="U131" s="70">
        <f>+E18-SUM(J131:T131)</f>
        <v>8</v>
      </c>
      <c r="V131" s="70">
        <f t="shared" si="20"/>
        <v>13</v>
      </c>
      <c r="Y131" s="53" t="str">
        <f t="shared" si="18"/>
        <v>HPE</v>
      </c>
      <c r="Z131" s="63">
        <f t="shared" si="19"/>
        <v>1.9021351467021733E-2</v>
      </c>
    </row>
    <row r="132" spans="2:26" ht="15" outlineLevel="1" x14ac:dyDescent="0.25">
      <c r="B132" s="116" t="s">
        <v>256</v>
      </c>
      <c r="D132" s="70">
        <v>10</v>
      </c>
      <c r="I132" s="53" t="s">
        <v>254</v>
      </c>
      <c r="J132" s="70"/>
      <c r="K132" s="70"/>
      <c r="L132" s="70"/>
      <c r="M132" s="70">
        <v>15</v>
      </c>
      <c r="N132" s="70"/>
      <c r="O132" s="53">
        <v>22</v>
      </c>
      <c r="P132" s="53">
        <v>14</v>
      </c>
      <c r="S132" s="136">
        <v>3.35</v>
      </c>
      <c r="T132" s="136"/>
      <c r="U132" s="70">
        <v>4</v>
      </c>
      <c r="V132" s="70">
        <f t="shared" si="20"/>
        <v>58.35</v>
      </c>
      <c r="Y132" s="53" t="str">
        <f t="shared" si="18"/>
        <v>Giga-Byte</v>
      </c>
      <c r="Z132" s="63">
        <f t="shared" si="19"/>
        <v>3.4809073184649771E-2</v>
      </c>
    </row>
    <row r="133" spans="2:26" ht="15" outlineLevel="1" x14ac:dyDescent="0.25">
      <c r="B133" s="116" t="s">
        <v>258</v>
      </c>
      <c r="D133" s="70">
        <v>20</v>
      </c>
      <c r="I133" s="53" t="s">
        <v>214</v>
      </c>
      <c r="O133" s="53">
        <v>16</v>
      </c>
      <c r="P133" s="53">
        <v>6</v>
      </c>
      <c r="U133" s="53">
        <v>10</v>
      </c>
      <c r="V133" s="70">
        <f t="shared" si="20"/>
        <v>32</v>
      </c>
      <c r="Y133" s="53" t="str">
        <f t="shared" si="18"/>
        <v>Inspur</v>
      </c>
      <c r="Z133" s="63">
        <f t="shared" si="19"/>
        <v>9.7008892481810827E-2</v>
      </c>
    </row>
    <row r="134" spans="2:26" ht="15" outlineLevel="1" x14ac:dyDescent="0.25">
      <c r="B134" s="116" t="s">
        <v>260</v>
      </c>
      <c r="D134" s="70">
        <v>25</v>
      </c>
      <c r="I134" s="53" t="s">
        <v>256</v>
      </c>
      <c r="T134" s="53">
        <v>1</v>
      </c>
      <c r="U134" s="53">
        <v>9</v>
      </c>
      <c r="V134" s="70">
        <f t="shared" si="20"/>
        <v>10</v>
      </c>
      <c r="Y134" s="53" t="str">
        <f t="shared" si="18"/>
        <v>Asustek</v>
      </c>
      <c r="Z134" s="63">
        <f t="shared" si="19"/>
        <v>8.5596081601597793E-3</v>
      </c>
    </row>
    <row r="135" spans="2:26" ht="15" outlineLevel="1" x14ac:dyDescent="0.25">
      <c r="B135" s="116" t="s">
        <v>261</v>
      </c>
      <c r="D135" s="70">
        <v>30</v>
      </c>
      <c r="I135" s="53" t="s">
        <v>257</v>
      </c>
      <c r="J135" s="70"/>
      <c r="K135" s="70"/>
      <c r="L135" s="70"/>
      <c r="M135" s="70"/>
      <c r="N135" s="70"/>
      <c r="O135" s="135">
        <v>7</v>
      </c>
      <c r="T135" s="70">
        <v>4</v>
      </c>
      <c r="U135" s="70">
        <v>7.3</v>
      </c>
      <c r="V135" s="70">
        <f t="shared" si="20"/>
        <v>18.3</v>
      </c>
      <c r="Y135" s="53" t="str">
        <f t="shared" si="18"/>
        <v>Lenovo</v>
      </c>
      <c r="Z135" s="63">
        <f t="shared" si="19"/>
        <v>3.8042702934043462E-3</v>
      </c>
    </row>
    <row r="136" spans="2:26" ht="15" outlineLevel="1" x14ac:dyDescent="0.25">
      <c r="B136" s="116" t="s">
        <v>262</v>
      </c>
      <c r="D136" s="70">
        <v>35</v>
      </c>
      <c r="I136" s="53" t="s">
        <v>259</v>
      </c>
      <c r="J136" s="70"/>
      <c r="K136" s="70"/>
      <c r="L136" s="70"/>
      <c r="M136" s="70"/>
      <c r="N136" s="70">
        <v>50</v>
      </c>
      <c r="U136" s="70">
        <v>1</v>
      </c>
      <c r="V136" s="70">
        <f t="shared" si="20"/>
        <v>51</v>
      </c>
      <c r="Y136" s="53" t="str">
        <f t="shared" si="18"/>
        <v>NationGate</v>
      </c>
      <c r="Z136" s="63">
        <f t="shared" si="19"/>
        <v>6.6574730134576062E-3</v>
      </c>
    </row>
    <row r="137" spans="2:26" ht="15" outlineLevel="1" x14ac:dyDescent="0.25">
      <c r="B137" s="116" t="s">
        <v>263</v>
      </c>
      <c r="D137" s="70">
        <v>2</v>
      </c>
      <c r="I137" s="53" t="s">
        <v>202</v>
      </c>
      <c r="U137" s="70">
        <v>4.5</v>
      </c>
      <c r="V137" s="70">
        <f t="shared" si="20"/>
        <v>4.5</v>
      </c>
      <c r="Y137" s="53" t="str">
        <f t="shared" si="18"/>
        <v>Others</v>
      </c>
      <c r="Z137" s="63">
        <f t="shared" si="19"/>
        <v>0.24361595891388091</v>
      </c>
    </row>
    <row r="138" spans="2:26" outlineLevel="1" x14ac:dyDescent="0.2">
      <c r="B138" s="116" t="s">
        <v>264</v>
      </c>
      <c r="D138" s="70">
        <v>20</v>
      </c>
      <c r="I138" s="53" t="s">
        <v>270</v>
      </c>
      <c r="P138" s="53">
        <v>2</v>
      </c>
      <c r="U138" s="70"/>
      <c r="V138" s="70">
        <f t="shared" si="20"/>
        <v>2</v>
      </c>
    </row>
    <row r="139" spans="2:26" outlineLevel="1" x14ac:dyDescent="0.2">
      <c r="B139" s="116" t="s">
        <v>214</v>
      </c>
      <c r="D139" s="70">
        <v>32</v>
      </c>
      <c r="I139" s="53" t="s">
        <v>271</v>
      </c>
      <c r="U139" s="70">
        <v>3.5</v>
      </c>
      <c r="V139" s="70">
        <f t="shared" si="20"/>
        <v>3.5</v>
      </c>
    </row>
    <row r="140" spans="2:26" outlineLevel="1" x14ac:dyDescent="0.2">
      <c r="B140" s="116" t="s">
        <v>216</v>
      </c>
      <c r="D140" s="70">
        <v>20</v>
      </c>
      <c r="I140" s="53" t="s">
        <v>189</v>
      </c>
      <c r="J140" s="55">
        <f t="shared" ref="J140:O140" si="21">+J141-SUM(J127:J136)</f>
        <v>0</v>
      </c>
      <c r="K140" s="55">
        <f t="shared" si="21"/>
        <v>0</v>
      </c>
      <c r="L140" s="55">
        <f t="shared" si="21"/>
        <v>0</v>
      </c>
      <c r="M140" s="55">
        <f t="shared" si="21"/>
        <v>0</v>
      </c>
      <c r="N140" s="55">
        <f t="shared" si="21"/>
        <v>56</v>
      </c>
      <c r="O140" s="70">
        <f t="shared" si="21"/>
        <v>0</v>
      </c>
      <c r="P140" s="70">
        <f>+P141-SUM(P127:P138)</f>
        <v>0</v>
      </c>
      <c r="Q140" s="70">
        <f>+Q141-SUM(Q127:Q136)</f>
        <v>0</v>
      </c>
      <c r="R140" s="70">
        <f>+R141-SUM(R127:R136)</f>
        <v>0</v>
      </c>
      <c r="S140" s="70">
        <f>+S141-SUM(S127:S136)</f>
        <v>0</v>
      </c>
      <c r="T140" s="70">
        <f>+T141-SUM(T127:T136)</f>
        <v>0</v>
      </c>
      <c r="U140" s="70">
        <f>+U141-SUM(U127:U139)</f>
        <v>72.075000000000031</v>
      </c>
      <c r="V140" s="70">
        <f t="shared" si="20"/>
        <v>128.07500000000005</v>
      </c>
    </row>
    <row r="141" spans="2:26" outlineLevel="1" x14ac:dyDescent="0.2">
      <c r="B141" s="116" t="s">
        <v>247</v>
      </c>
      <c r="D141" s="70">
        <v>20</v>
      </c>
      <c r="I141" s="54" t="s">
        <v>204</v>
      </c>
      <c r="J141" s="61">
        <f>+D126</f>
        <v>70</v>
      </c>
      <c r="K141" s="61">
        <f>+D127</f>
        <v>30</v>
      </c>
      <c r="L141" s="61">
        <f>+D128</f>
        <v>33</v>
      </c>
      <c r="M141" s="61">
        <f>+D129</f>
        <v>35</v>
      </c>
      <c r="N141" s="61">
        <f>+SUM(D133:D136)</f>
        <v>110</v>
      </c>
      <c r="O141" s="61">
        <f>+D131</f>
        <v>45</v>
      </c>
      <c r="P141" s="61">
        <f>+D138+D137</f>
        <v>22</v>
      </c>
      <c r="Q141" s="61">
        <f>+D140</f>
        <v>20</v>
      </c>
      <c r="R141" s="61">
        <f>D141</f>
        <v>20</v>
      </c>
      <c r="S141" s="61">
        <f>+D143</f>
        <v>3.35</v>
      </c>
      <c r="T141" s="61">
        <f>+D144</f>
        <v>5</v>
      </c>
      <c r="U141" s="61">
        <f>+D130-SUM(N141:T141)</f>
        <v>132.37500000000003</v>
      </c>
      <c r="V141" s="61">
        <f t="shared" si="20"/>
        <v>525.72500000000002</v>
      </c>
    </row>
    <row r="142" spans="2:26" outlineLevel="1" x14ac:dyDescent="0.2">
      <c r="B142" s="116" t="s">
        <v>265</v>
      </c>
      <c r="D142" s="70">
        <v>1.5</v>
      </c>
    </row>
    <row r="143" spans="2:26" outlineLevel="1" x14ac:dyDescent="0.2">
      <c r="B143" s="116" t="s">
        <v>266</v>
      </c>
      <c r="D143" s="70">
        <f>4.25-D102</f>
        <v>3.35</v>
      </c>
    </row>
    <row r="144" spans="2:26" outlineLevel="1" x14ac:dyDescent="0.2">
      <c r="B144" s="116" t="s">
        <v>267</v>
      </c>
      <c r="D144" s="70">
        <v>5</v>
      </c>
    </row>
    <row r="145" spans="2:26" outlineLevel="1" x14ac:dyDescent="0.2">
      <c r="B145" s="116" t="s">
        <v>189</v>
      </c>
      <c r="D145" s="70">
        <f>+D130-SUM(D131:D144)</f>
        <v>88.875</v>
      </c>
      <c r="Y145" s="54" t="s">
        <v>194</v>
      </c>
    </row>
    <row r="146" spans="2:26" ht="15" outlineLevel="1" x14ac:dyDescent="0.25">
      <c r="Y146" s="53" t="str">
        <f>+B148</f>
        <v>Microsoft</v>
      </c>
      <c r="Z146" s="63">
        <f t="shared" ref="Z146:Z154" si="22">+VLOOKUP(Y146,$B$148:$D$166,3,FALSE)</f>
        <v>0.13314946026915211</v>
      </c>
    </row>
    <row r="147" spans="2:26" ht="15" outlineLevel="1" x14ac:dyDescent="0.25">
      <c r="B147" s="54" t="s">
        <v>194</v>
      </c>
      <c r="Y147" s="53" t="str">
        <f>+B149</f>
        <v>Google</v>
      </c>
      <c r="Z147" s="63">
        <f t="shared" si="22"/>
        <v>5.7064054401065191E-2</v>
      </c>
    </row>
    <row r="148" spans="2:26" ht="15" outlineLevel="1" x14ac:dyDescent="0.25">
      <c r="B148" s="53" t="str">
        <f>+B126</f>
        <v>Microsoft</v>
      </c>
      <c r="D148" s="63">
        <f>+D126/D$125</f>
        <v>0.13314946026915211</v>
      </c>
      <c r="Y148" s="53" t="str">
        <f>+B150</f>
        <v>Amazon</v>
      </c>
      <c r="Z148" s="63">
        <f t="shared" si="22"/>
        <v>6.2770459841171716E-2</v>
      </c>
    </row>
    <row r="149" spans="2:26" ht="15" outlineLevel="1" x14ac:dyDescent="0.25">
      <c r="B149" s="53" t="str">
        <f>+B127</f>
        <v>Google</v>
      </c>
      <c r="D149" s="63">
        <f>+D127/D$125</f>
        <v>5.7064054401065191E-2</v>
      </c>
      <c r="Y149" s="53" t="str">
        <f>+B151</f>
        <v>Meta Platforms</v>
      </c>
      <c r="Z149" s="63">
        <f t="shared" si="22"/>
        <v>6.6574730134576057E-2</v>
      </c>
    </row>
    <row r="150" spans="2:26" ht="15" outlineLevel="1" x14ac:dyDescent="0.25">
      <c r="B150" s="53" t="str">
        <f>+B128</f>
        <v>Amazon</v>
      </c>
      <c r="D150" s="63">
        <f>+D128/D$125</f>
        <v>6.2770459841171716E-2</v>
      </c>
      <c r="Y150" s="53" t="str">
        <f>+B160</f>
        <v>Dell</v>
      </c>
      <c r="Z150" s="63">
        <f t="shared" si="22"/>
        <v>6.0868324694469539E-2</v>
      </c>
    </row>
    <row r="151" spans="2:26" ht="15" outlineLevel="1" x14ac:dyDescent="0.25">
      <c r="B151" s="53" t="str">
        <f>+B129</f>
        <v>Meta Platforms</v>
      </c>
      <c r="D151" s="63">
        <f>+D129/D$125</f>
        <v>6.6574730134576057E-2</v>
      </c>
      <c r="Y151" s="53" t="str">
        <f>+B152</f>
        <v>Coreweave</v>
      </c>
      <c r="Z151" s="63">
        <f t="shared" si="22"/>
        <v>8.559608160159779E-2</v>
      </c>
    </row>
    <row r="152" spans="2:26" ht="15" outlineLevel="1" x14ac:dyDescent="0.25">
      <c r="B152" s="116" t="str">
        <f t="shared" ref="B152:B166" si="23">+B131</f>
        <v>Coreweave</v>
      </c>
      <c r="D152" s="63">
        <f t="shared" ref="D152:D166" si="24">+D131/D$125</f>
        <v>8.559608160159779E-2</v>
      </c>
      <c r="Y152" s="53" t="s">
        <v>256</v>
      </c>
      <c r="Z152" s="63">
        <f t="shared" si="22"/>
        <v>1.9021351467021733E-2</v>
      </c>
    </row>
    <row r="153" spans="2:26" ht="15" outlineLevel="1" x14ac:dyDescent="0.25">
      <c r="B153" s="116" t="str">
        <f t="shared" si="23"/>
        <v>HPE</v>
      </c>
      <c r="D153" s="63">
        <f t="shared" si="24"/>
        <v>1.9021351467021733E-2</v>
      </c>
      <c r="Y153" s="53" t="str">
        <f>+B161</f>
        <v>Oracle</v>
      </c>
      <c r="Z153" s="63">
        <f t="shared" si="22"/>
        <v>3.8042702934043465E-2</v>
      </c>
    </row>
    <row r="154" spans="2:26" ht="15" outlineLevel="1" x14ac:dyDescent="0.25">
      <c r="B154" s="116" t="str">
        <f t="shared" si="23"/>
        <v>Baidu</v>
      </c>
      <c r="D154" s="63">
        <f t="shared" si="24"/>
        <v>3.8042702934043465E-2</v>
      </c>
      <c r="Y154" s="53" t="s">
        <v>247</v>
      </c>
      <c r="Z154" s="63">
        <f t="shared" si="22"/>
        <v>3.8042702934043465E-2</v>
      </c>
    </row>
    <row r="155" spans="2:26" ht="15" outlineLevel="1" x14ac:dyDescent="0.25">
      <c r="B155" s="116" t="str">
        <f t="shared" si="23"/>
        <v>Alibaba</v>
      </c>
      <c r="D155" s="63">
        <f t="shared" si="24"/>
        <v>4.7553378667554325E-2</v>
      </c>
      <c r="Y155" s="53" t="s">
        <v>246</v>
      </c>
      <c r="Z155" s="63">
        <f>+D158+D159</f>
        <v>4.1846973227447813E-2</v>
      </c>
    </row>
    <row r="156" spans="2:26" ht="15" outlineLevel="1" x14ac:dyDescent="0.25">
      <c r="B156" s="116" t="str">
        <f t="shared" si="23"/>
        <v>Tencent</v>
      </c>
      <c r="D156" s="63">
        <f t="shared" si="24"/>
        <v>5.7064054401065191E-2</v>
      </c>
      <c r="Y156" s="53" t="str">
        <f>+B157</f>
        <v>ByteDance</v>
      </c>
      <c r="Z156" s="63">
        <f>+VLOOKUP(Y156,$B$148:$D$166,3,FALSE)</f>
        <v>6.6574730134576057E-2</v>
      </c>
    </row>
    <row r="157" spans="2:26" ht="15" outlineLevel="1" x14ac:dyDescent="0.25">
      <c r="B157" s="116" t="str">
        <f t="shared" si="23"/>
        <v>ByteDance</v>
      </c>
      <c r="D157" s="63">
        <f t="shared" si="24"/>
        <v>6.6574730134576057E-2</v>
      </c>
      <c r="Y157" s="53" t="str">
        <f>+B154</f>
        <v>Baidu</v>
      </c>
      <c r="Z157" s="63">
        <f>+VLOOKUP(Y157,$B$148:$D$166,3,FALSE)</f>
        <v>3.8042702934043465E-2</v>
      </c>
    </row>
    <row r="158" spans="2:26" ht="15" outlineLevel="1" x14ac:dyDescent="0.25">
      <c r="B158" s="116" t="str">
        <f t="shared" si="23"/>
        <v>X</v>
      </c>
      <c r="D158" s="63">
        <f t="shared" si="24"/>
        <v>3.8042702934043462E-3</v>
      </c>
      <c r="Y158" s="53" t="str">
        <f>+B155</f>
        <v>Alibaba</v>
      </c>
      <c r="Z158" s="63">
        <f>+VLOOKUP(Y158,$B$148:$D$166,3,FALSE)</f>
        <v>4.7553378667554325E-2</v>
      </c>
    </row>
    <row r="159" spans="2:26" ht="15" outlineLevel="1" x14ac:dyDescent="0.25">
      <c r="B159" s="116" t="str">
        <f t="shared" si="23"/>
        <v>Tesla</v>
      </c>
      <c r="D159" s="63">
        <f t="shared" si="24"/>
        <v>3.8042702934043465E-2</v>
      </c>
      <c r="Y159" s="53" t="str">
        <f>+B156</f>
        <v>Tencent</v>
      </c>
      <c r="Z159" s="63">
        <f>+VLOOKUP(Y159,$B$148:$D$166,3,FALSE)</f>
        <v>5.7064054401065191E-2</v>
      </c>
    </row>
    <row r="160" spans="2:26" ht="15" outlineLevel="1" x14ac:dyDescent="0.25">
      <c r="B160" s="116" t="str">
        <f t="shared" si="23"/>
        <v>Dell</v>
      </c>
      <c r="D160" s="63">
        <f t="shared" si="24"/>
        <v>6.0868324694469539E-2</v>
      </c>
      <c r="Y160" s="53" t="s">
        <v>265</v>
      </c>
      <c r="Z160" s="64">
        <f>+D163</f>
        <v>2.8532027200532596E-3</v>
      </c>
    </row>
    <row r="161" spans="2:50" ht="15" outlineLevel="1" x14ac:dyDescent="0.25">
      <c r="B161" s="116" t="str">
        <f t="shared" si="23"/>
        <v>Oracle</v>
      </c>
      <c r="D161" s="63">
        <f t="shared" si="24"/>
        <v>3.8042702934043465E-2</v>
      </c>
      <c r="Y161" s="53" t="s">
        <v>266</v>
      </c>
      <c r="Z161" s="64">
        <f>+D164</f>
        <v>6.3721527414522805E-3</v>
      </c>
    </row>
    <row r="162" spans="2:50" ht="15" outlineLevel="1" x14ac:dyDescent="0.25">
      <c r="B162" s="116" t="str">
        <f t="shared" si="23"/>
        <v>Apple</v>
      </c>
      <c r="D162" s="63">
        <f t="shared" si="24"/>
        <v>3.8042702934043465E-2</v>
      </c>
      <c r="Y162" s="53" t="s">
        <v>267</v>
      </c>
      <c r="Z162" s="64">
        <f>+D165</f>
        <v>9.5106757335108663E-3</v>
      </c>
    </row>
    <row r="163" spans="2:50" ht="15" outlineLevel="1" x14ac:dyDescent="0.25">
      <c r="B163" s="116" t="str">
        <f t="shared" si="23"/>
        <v>Lambda</v>
      </c>
      <c r="D163" s="63">
        <f t="shared" si="24"/>
        <v>2.8532027200532596E-3</v>
      </c>
      <c r="Y163" s="53" t="str">
        <f>+B166</f>
        <v>Others</v>
      </c>
      <c r="Z163" s="63">
        <f>1-SUM(Z146:Z162)</f>
        <v>0.16905226116315575</v>
      </c>
    </row>
    <row r="164" spans="2:50" ht="15" outlineLevel="1" x14ac:dyDescent="0.25">
      <c r="B164" s="116" t="str">
        <f t="shared" si="23"/>
        <v>Applied Digital</v>
      </c>
      <c r="D164" s="63">
        <f t="shared" si="24"/>
        <v>6.3721527414522805E-3</v>
      </c>
    </row>
    <row r="165" spans="2:50" ht="15" outlineLevel="1" x14ac:dyDescent="0.25">
      <c r="B165" s="116" t="str">
        <f t="shared" si="23"/>
        <v>Taiga Cloud</v>
      </c>
      <c r="D165" s="63">
        <f t="shared" si="24"/>
        <v>9.5106757335108663E-3</v>
      </c>
    </row>
    <row r="166" spans="2:50" ht="15" outlineLevel="1" x14ac:dyDescent="0.25">
      <c r="B166" s="116" t="str">
        <f t="shared" si="23"/>
        <v>Others</v>
      </c>
      <c r="D166" s="63">
        <f t="shared" si="24"/>
        <v>0.16905226116315564</v>
      </c>
    </row>
    <row r="167" spans="2:50" x14ac:dyDescent="0.2">
      <c r="N167" s="70"/>
      <c r="O167" s="70"/>
    </row>
    <row r="168" spans="2:50" x14ac:dyDescent="0.2">
      <c r="J168" s="137"/>
      <c r="N168" s="70"/>
      <c r="O168" s="70"/>
    </row>
    <row r="169" spans="2:50" ht="15" x14ac:dyDescent="0.25">
      <c r="B169" s="56" t="s">
        <v>272</v>
      </c>
      <c r="E169" s="63"/>
      <c r="Y169" s="54" t="s">
        <v>191</v>
      </c>
    </row>
    <row r="170" spans="2:50" ht="15" x14ac:dyDescent="0.25">
      <c r="B170" s="54" t="s">
        <v>273</v>
      </c>
      <c r="D170" s="138">
        <f>+SUM(D171:D176)</f>
        <v>28.917999999999999</v>
      </c>
      <c r="E170" s="61"/>
      <c r="F170" s="139"/>
      <c r="Y170" s="53" t="str">
        <f>+I174</f>
        <v>Quanta</v>
      </c>
      <c r="Z170" s="63">
        <f>+V174/V$186</f>
        <v>0.21177121516010788</v>
      </c>
    </row>
    <row r="171" spans="2:50" ht="15" x14ac:dyDescent="0.25">
      <c r="B171" s="53" t="s">
        <v>209</v>
      </c>
      <c r="D171" s="140">
        <v>5.8</v>
      </c>
      <c r="E171" s="55"/>
      <c r="Y171" s="53" t="str">
        <f>+I176</f>
        <v>FII/HH</v>
      </c>
      <c r="Z171" s="63">
        <f>+V176/V$186</f>
        <v>0.50833390967563452</v>
      </c>
    </row>
    <row r="172" spans="2:50" ht="15" x14ac:dyDescent="0.25">
      <c r="B172" s="53" t="s">
        <v>216</v>
      </c>
      <c r="D172" s="140">
        <v>7.7750000000000004</v>
      </c>
      <c r="E172" s="55"/>
      <c r="Y172" s="53" t="str">
        <f>+I178</f>
        <v>Wistron</v>
      </c>
      <c r="Z172" s="63">
        <f>+V178/V$186</f>
        <v>0.19797358046891206</v>
      </c>
    </row>
    <row r="173" spans="2:50" ht="15.75" thickBot="1" x14ac:dyDescent="0.3">
      <c r="B173" s="53" t="s">
        <v>210</v>
      </c>
      <c r="D173" s="140">
        <v>1.7769999999999999</v>
      </c>
      <c r="E173" s="55"/>
      <c r="I173" s="54" t="s">
        <v>240</v>
      </c>
      <c r="J173" s="134" t="s">
        <v>241</v>
      </c>
      <c r="K173" s="134" t="s">
        <v>242</v>
      </c>
      <c r="L173" s="134" t="s">
        <v>243</v>
      </c>
      <c r="M173" s="134" t="s">
        <v>244</v>
      </c>
      <c r="N173" s="134" t="s">
        <v>245</v>
      </c>
      <c r="O173" s="134" t="s">
        <v>246</v>
      </c>
      <c r="P173" s="134" t="s">
        <v>216</v>
      </c>
      <c r="Q173" s="134" t="s">
        <v>388</v>
      </c>
      <c r="R173" s="134" t="s">
        <v>389</v>
      </c>
      <c r="S173" s="134" t="s">
        <v>265</v>
      </c>
      <c r="T173" s="134" t="s">
        <v>390</v>
      </c>
      <c r="U173" s="134" t="s">
        <v>189</v>
      </c>
      <c r="V173" s="134" t="s">
        <v>204</v>
      </c>
      <c r="Y173" s="53" t="s">
        <v>222</v>
      </c>
      <c r="Z173" s="63">
        <f>+V177/V$186</f>
        <v>1.9883809392074136E-2</v>
      </c>
    </row>
    <row r="174" spans="2:50" ht="15.75" thickBot="1" x14ac:dyDescent="0.3">
      <c r="B174" s="53" t="s">
        <v>211</v>
      </c>
      <c r="D174" s="140">
        <v>0.94399999999999995</v>
      </c>
      <c r="E174" s="55"/>
      <c r="I174" s="53" t="s">
        <v>220</v>
      </c>
      <c r="J174" s="140"/>
      <c r="K174" s="140">
        <v>1.7769999999999999</v>
      </c>
      <c r="L174" s="140">
        <v>0.94399999999999995</v>
      </c>
      <c r="M174" s="140">
        <v>3.0030000000000001</v>
      </c>
      <c r="N174" s="140"/>
      <c r="O174" s="140"/>
      <c r="P174" s="140">
        <v>0</v>
      </c>
      <c r="Q174" s="140"/>
      <c r="R174" s="140"/>
      <c r="S174" s="140"/>
      <c r="T174" s="140"/>
      <c r="U174" s="140">
        <v>0.4</v>
      </c>
      <c r="V174" s="140">
        <f t="shared" ref="V174:V186" si="25">+SUM(J174:U174)</f>
        <v>6.1240000000000006</v>
      </c>
      <c r="Y174" s="53" t="s">
        <v>274</v>
      </c>
      <c r="Z174" s="63">
        <f>+V179/V$186</f>
        <v>2.8356041220001384E-2</v>
      </c>
      <c r="AW174" s="141" t="s">
        <v>275</v>
      </c>
      <c r="AX174" s="142" t="s">
        <v>276</v>
      </c>
    </row>
    <row r="175" spans="2:50" ht="15" x14ac:dyDescent="0.25">
      <c r="B175" s="53" t="s">
        <v>213</v>
      </c>
      <c r="D175" s="140">
        <v>3.1030000000000002</v>
      </c>
      <c r="E175" s="55"/>
      <c r="I175" s="53" t="s">
        <v>251</v>
      </c>
      <c r="J175" s="140"/>
      <c r="K175" s="140"/>
      <c r="L175" s="140"/>
      <c r="M175" s="140"/>
      <c r="N175" s="140"/>
      <c r="O175" s="140"/>
      <c r="P175" s="140"/>
      <c r="Q175" s="140"/>
      <c r="R175" s="140"/>
      <c r="S175" s="140"/>
      <c r="T175" s="140"/>
      <c r="U175" s="140"/>
      <c r="V175" s="140">
        <f t="shared" si="25"/>
        <v>0</v>
      </c>
      <c r="Y175" s="53" t="str">
        <f>+I185</f>
        <v>Others</v>
      </c>
      <c r="Z175" s="63">
        <f>1-SUM(Z170:Z174)</f>
        <v>3.3681444083270118E-2</v>
      </c>
      <c r="AW175" s="143" t="s">
        <v>209</v>
      </c>
      <c r="AX175" s="144" t="s">
        <v>277</v>
      </c>
    </row>
    <row r="176" spans="2:50" ht="15" x14ac:dyDescent="0.25">
      <c r="B176" s="53" t="s">
        <v>255</v>
      </c>
      <c r="D176" s="140">
        <f>+SUM(D177:D183)</f>
        <v>9.5189999999999984</v>
      </c>
      <c r="E176" s="55"/>
      <c r="I176" s="53" t="s">
        <v>223</v>
      </c>
      <c r="J176" s="140">
        <v>5.8</v>
      </c>
      <c r="K176" s="140"/>
      <c r="L176" s="140"/>
      <c r="M176" s="140">
        <v>0.1</v>
      </c>
      <c r="N176" s="140"/>
      <c r="O176" s="140"/>
      <c r="P176" s="140">
        <v>6.9</v>
      </c>
      <c r="Q176" s="140"/>
      <c r="R176" s="140"/>
      <c r="S176" s="140"/>
      <c r="T176" s="140"/>
      <c r="U176" s="140">
        <v>1.9</v>
      </c>
      <c r="V176" s="140">
        <f t="shared" si="25"/>
        <v>14.700000000000001</v>
      </c>
      <c r="Z176" s="63"/>
      <c r="AW176" s="145" t="s">
        <v>216</v>
      </c>
      <c r="AX176" s="146" t="s">
        <v>277</v>
      </c>
    </row>
    <row r="177" spans="2:50" ht="15" x14ac:dyDescent="0.25">
      <c r="B177" s="116" t="s">
        <v>215</v>
      </c>
      <c r="D177" s="140">
        <v>2.4</v>
      </c>
      <c r="E177" s="55"/>
      <c r="I177" s="53" t="s">
        <v>222</v>
      </c>
      <c r="J177" s="140"/>
      <c r="K177" s="140"/>
      <c r="L177" s="140"/>
      <c r="M177" s="140"/>
      <c r="N177" s="140"/>
      <c r="O177" s="140"/>
      <c r="P177" s="140">
        <v>0.42499999999999999</v>
      </c>
      <c r="Q177" s="140"/>
      <c r="R177" s="140"/>
      <c r="S177" s="140"/>
      <c r="T177" s="140"/>
      <c r="U177" s="140">
        <v>0.15</v>
      </c>
      <c r="V177" s="140">
        <f t="shared" si="25"/>
        <v>0.57499999999999996</v>
      </c>
      <c r="Z177" s="63"/>
      <c r="AW177" s="145" t="s">
        <v>210</v>
      </c>
      <c r="AX177" s="146" t="s">
        <v>220</v>
      </c>
    </row>
    <row r="178" spans="2:50" ht="15" x14ac:dyDescent="0.25">
      <c r="B178" s="116" t="s">
        <v>246</v>
      </c>
      <c r="D178" s="140">
        <v>3.4</v>
      </c>
      <c r="E178" s="55"/>
      <c r="I178" s="53" t="s">
        <v>253</v>
      </c>
      <c r="J178" s="140"/>
      <c r="K178" s="140"/>
      <c r="L178" s="140"/>
      <c r="M178" s="140"/>
      <c r="N178" s="140">
        <v>2.4</v>
      </c>
      <c r="O178" s="140">
        <v>2.5499999999999998</v>
      </c>
      <c r="P178" s="140">
        <v>0.4</v>
      </c>
      <c r="Q178" s="140"/>
      <c r="R178" s="140"/>
      <c r="S178" s="140"/>
      <c r="T178" s="140"/>
      <c r="U178" s="140">
        <v>0.375</v>
      </c>
      <c r="V178" s="140">
        <f t="shared" si="25"/>
        <v>5.7249999999999996</v>
      </c>
      <c r="Z178" s="63"/>
      <c r="AW178" s="145" t="s">
        <v>211</v>
      </c>
      <c r="AX178" s="146" t="s">
        <v>220</v>
      </c>
    </row>
    <row r="179" spans="2:50" x14ac:dyDescent="0.2">
      <c r="B179" s="116" t="s">
        <v>388</v>
      </c>
      <c r="D179" s="140">
        <v>0.42</v>
      </c>
      <c r="E179" s="55"/>
      <c r="I179" s="53" t="s">
        <v>254</v>
      </c>
      <c r="J179" s="140"/>
      <c r="K179" s="140"/>
      <c r="L179" s="140"/>
      <c r="M179" s="140"/>
      <c r="N179" s="140"/>
      <c r="O179" s="140">
        <v>0.55000000000000004</v>
      </c>
      <c r="P179" s="140">
        <v>0.05</v>
      </c>
      <c r="Q179" s="140">
        <v>0.12</v>
      </c>
      <c r="R179" s="140"/>
      <c r="S179" s="140">
        <v>0.1</v>
      </c>
      <c r="T179" s="140"/>
      <c r="U179" s="140">
        <v>0</v>
      </c>
      <c r="V179" s="140">
        <f t="shared" si="25"/>
        <v>0.82000000000000006</v>
      </c>
      <c r="AW179" s="145" t="s">
        <v>213</v>
      </c>
      <c r="AX179" s="146" t="s">
        <v>220</v>
      </c>
    </row>
    <row r="180" spans="2:50" ht="12" thickBot="1" x14ac:dyDescent="0.25">
      <c r="B180" s="116" t="s">
        <v>389</v>
      </c>
      <c r="D180" s="140">
        <v>0.17</v>
      </c>
      <c r="I180" s="53" t="s">
        <v>256</v>
      </c>
      <c r="J180" s="140"/>
      <c r="K180" s="140"/>
      <c r="L180" s="140"/>
      <c r="M180" s="140"/>
      <c r="N180" s="140"/>
      <c r="O180" s="140">
        <v>0.3</v>
      </c>
      <c r="P180" s="140"/>
      <c r="Q180" s="140"/>
      <c r="R180" s="140"/>
      <c r="S180" s="140"/>
      <c r="T180" s="140"/>
      <c r="U180" s="140">
        <v>0.1</v>
      </c>
      <c r="V180" s="140">
        <f t="shared" si="25"/>
        <v>0.4</v>
      </c>
      <c r="AW180" s="147" t="s">
        <v>189</v>
      </c>
      <c r="AX180" s="148" t="s">
        <v>278</v>
      </c>
    </row>
    <row r="181" spans="2:50" x14ac:dyDescent="0.2">
      <c r="B181" s="116" t="s">
        <v>265</v>
      </c>
      <c r="D181" s="140">
        <v>0.1</v>
      </c>
      <c r="I181" s="53" t="s">
        <v>257</v>
      </c>
      <c r="J181" s="140"/>
      <c r="K181" s="140"/>
      <c r="L181" s="140"/>
      <c r="M181" s="140"/>
      <c r="N181" s="140"/>
      <c r="O181" s="140"/>
      <c r="P181" s="140"/>
      <c r="Q181" s="140">
        <v>0.2</v>
      </c>
      <c r="R181" s="140">
        <v>0.17</v>
      </c>
      <c r="S181" s="140"/>
      <c r="T181" s="140"/>
      <c r="U181" s="140">
        <v>0</v>
      </c>
      <c r="V181" s="140">
        <f t="shared" si="25"/>
        <v>0.37</v>
      </c>
    </row>
    <row r="182" spans="2:50" x14ac:dyDescent="0.2">
      <c r="B182" s="116" t="s">
        <v>390</v>
      </c>
      <c r="D182" s="140">
        <v>0</v>
      </c>
      <c r="I182" s="53" t="s">
        <v>259</v>
      </c>
      <c r="J182" s="140"/>
      <c r="K182" s="140"/>
      <c r="L182" s="140"/>
      <c r="M182" s="140"/>
      <c r="N182" s="140"/>
      <c r="O182" s="140"/>
      <c r="P182" s="140"/>
      <c r="Q182" s="140"/>
      <c r="R182" s="140"/>
      <c r="S182" s="140"/>
      <c r="T182" s="140"/>
      <c r="U182" s="140"/>
      <c r="V182" s="140">
        <f t="shared" si="25"/>
        <v>0</v>
      </c>
      <c r="Y182" s="54" t="s">
        <v>194</v>
      </c>
    </row>
    <row r="183" spans="2:50" ht="15" x14ac:dyDescent="0.25">
      <c r="B183" s="116" t="s">
        <v>189</v>
      </c>
      <c r="D183" s="140">
        <v>3.0289999999999999</v>
      </c>
      <c r="I183" s="53" t="s">
        <v>202</v>
      </c>
      <c r="J183" s="140"/>
      <c r="K183" s="140"/>
      <c r="L183" s="140"/>
      <c r="M183" s="140"/>
      <c r="N183" s="140"/>
      <c r="O183" s="140"/>
      <c r="P183" s="140"/>
      <c r="Q183" s="140">
        <v>0.1</v>
      </c>
      <c r="R183" s="140"/>
      <c r="S183" s="140"/>
      <c r="T183" s="140"/>
      <c r="U183" s="140">
        <v>0.1</v>
      </c>
      <c r="V183" s="140">
        <f t="shared" si="25"/>
        <v>0.2</v>
      </c>
      <c r="Y183" s="53" t="str">
        <f>+B187</f>
        <v>Microsoft</v>
      </c>
      <c r="Z183" s="63">
        <f t="shared" ref="Z183:Z189" si="26">+VLOOKUP(Y183,$B$187:$D$197,3,FALSE)</f>
        <v>0.20056712082440004</v>
      </c>
    </row>
    <row r="184" spans="2:50" ht="15" x14ac:dyDescent="0.25">
      <c r="B184" s="116"/>
      <c r="D184" s="221"/>
      <c r="I184" s="53" t="s">
        <v>270</v>
      </c>
      <c r="J184" s="140"/>
      <c r="K184" s="140"/>
      <c r="L184" s="140"/>
      <c r="M184" s="140"/>
      <c r="N184" s="140"/>
      <c r="O184" s="140"/>
      <c r="P184" s="140"/>
      <c r="Q184" s="140"/>
      <c r="R184" s="140"/>
      <c r="S184" s="140"/>
      <c r="T184" s="140"/>
      <c r="U184" s="140">
        <v>0</v>
      </c>
      <c r="V184" s="140">
        <f t="shared" si="25"/>
        <v>0</v>
      </c>
      <c r="Y184" s="53" t="str">
        <f>+B188</f>
        <v>Oracle</v>
      </c>
      <c r="Z184" s="63">
        <f t="shared" si="26"/>
        <v>0.2688636835189156</v>
      </c>
    </row>
    <row r="185" spans="2:50" ht="15" x14ac:dyDescent="0.25">
      <c r="B185" s="116"/>
      <c r="D185" s="70"/>
      <c r="I185" s="53" t="s">
        <v>189</v>
      </c>
      <c r="J185" s="140">
        <f t="shared" ref="J185:T185" si="27">+J186-SUM(J174:J184)</f>
        <v>0</v>
      </c>
      <c r="K185" s="140">
        <f t="shared" si="27"/>
        <v>0</v>
      </c>
      <c r="L185" s="140">
        <f t="shared" si="27"/>
        <v>0</v>
      </c>
      <c r="M185" s="140">
        <f t="shared" si="27"/>
        <v>0</v>
      </c>
      <c r="N185" s="140">
        <f t="shared" si="27"/>
        <v>0</v>
      </c>
      <c r="O185" s="140">
        <f t="shared" si="27"/>
        <v>0</v>
      </c>
      <c r="P185" s="140">
        <f t="shared" si="27"/>
        <v>0</v>
      </c>
      <c r="Q185" s="140">
        <f t="shared" si="27"/>
        <v>0</v>
      </c>
      <c r="R185" s="140">
        <f t="shared" si="27"/>
        <v>0</v>
      </c>
      <c r="S185" s="140">
        <f t="shared" si="27"/>
        <v>0</v>
      </c>
      <c r="T185" s="140">
        <f t="shared" si="27"/>
        <v>0</v>
      </c>
      <c r="U185" s="140">
        <f>+U186-SUM(U174:U184)</f>
        <v>4.0000000000000036E-3</v>
      </c>
      <c r="V185" s="140">
        <f t="shared" si="25"/>
        <v>4.0000000000000036E-3</v>
      </c>
      <c r="Y185" s="53" t="str">
        <f>+B189</f>
        <v>Google</v>
      </c>
      <c r="Z185" s="63">
        <f t="shared" si="26"/>
        <v>6.1449616156027384E-2</v>
      </c>
    </row>
    <row r="186" spans="2:50" ht="15" x14ac:dyDescent="0.25">
      <c r="B186" s="54" t="s">
        <v>194</v>
      </c>
      <c r="I186" s="54" t="s">
        <v>204</v>
      </c>
      <c r="J186" s="138">
        <f>+D171</f>
        <v>5.8</v>
      </c>
      <c r="K186" s="138">
        <f>+D173</f>
        <v>1.7769999999999999</v>
      </c>
      <c r="L186" s="138">
        <f>+D174</f>
        <v>0.94399999999999995</v>
      </c>
      <c r="M186" s="138">
        <f>+D175</f>
        <v>3.1030000000000002</v>
      </c>
      <c r="N186" s="138">
        <f>+D177</f>
        <v>2.4</v>
      </c>
      <c r="O186" s="138">
        <f>+D178</f>
        <v>3.4</v>
      </c>
      <c r="P186" s="138">
        <f>+D172</f>
        <v>7.7750000000000004</v>
      </c>
      <c r="Q186" s="138">
        <f>+D179</f>
        <v>0.42</v>
      </c>
      <c r="R186" s="138">
        <f>+D180</f>
        <v>0.17</v>
      </c>
      <c r="S186" s="138">
        <f>+D181</f>
        <v>0.1</v>
      </c>
      <c r="T186" s="138">
        <f>+D182</f>
        <v>0</v>
      </c>
      <c r="U186" s="138">
        <f>+D183</f>
        <v>3.0289999999999999</v>
      </c>
      <c r="V186" s="149">
        <f t="shared" si="25"/>
        <v>28.918000000000003</v>
      </c>
      <c r="Y186" s="53" t="str">
        <f>+B190</f>
        <v>Amazon</v>
      </c>
      <c r="Z186" s="63">
        <f t="shared" si="26"/>
        <v>3.2644027941074759E-2</v>
      </c>
    </row>
    <row r="187" spans="2:50" ht="15" x14ac:dyDescent="0.25">
      <c r="B187" s="53" t="str">
        <f t="shared" ref="B187:B199" si="28">+B171</f>
        <v>Microsoft</v>
      </c>
      <c r="D187" s="63">
        <f t="shared" ref="D187:D199" si="29">+D171/D$170</f>
        <v>0.20056712082440004</v>
      </c>
      <c r="Y187" s="53" t="str">
        <f>+B191</f>
        <v>Meta Platforms</v>
      </c>
      <c r="Z187" s="63">
        <f t="shared" si="26"/>
        <v>0.10730340964105402</v>
      </c>
    </row>
    <row r="188" spans="2:50" ht="15.75" thickBot="1" x14ac:dyDescent="0.3">
      <c r="B188" s="53" t="str">
        <f t="shared" si="28"/>
        <v>Oracle</v>
      </c>
      <c r="D188" s="63">
        <f t="shared" si="29"/>
        <v>0.2688636835189156</v>
      </c>
      <c r="Y188" s="53" t="s">
        <v>215</v>
      </c>
      <c r="Z188" s="63">
        <f t="shared" si="26"/>
        <v>8.2993291375613801E-2</v>
      </c>
    </row>
    <row r="189" spans="2:50" ht="15" x14ac:dyDescent="0.25">
      <c r="B189" s="53" t="str">
        <f t="shared" si="28"/>
        <v>Google</v>
      </c>
      <c r="D189" s="63">
        <f t="shared" si="29"/>
        <v>6.1449616156027384E-2</v>
      </c>
      <c r="I189" s="150" t="s">
        <v>279</v>
      </c>
      <c r="J189" s="151" t="s">
        <v>81</v>
      </c>
      <c r="K189" s="151" t="s">
        <v>280</v>
      </c>
      <c r="L189" s="151" t="s">
        <v>83</v>
      </c>
      <c r="M189" s="151" t="s">
        <v>179</v>
      </c>
      <c r="N189" s="152">
        <v>2025</v>
      </c>
      <c r="Y189" s="53" t="s">
        <v>246</v>
      </c>
      <c r="Z189" s="63">
        <f t="shared" si="26"/>
        <v>0.11757382944878622</v>
      </c>
    </row>
    <row r="190" spans="2:50" ht="15" x14ac:dyDescent="0.25">
      <c r="B190" s="53" t="str">
        <f t="shared" si="28"/>
        <v>Amazon</v>
      </c>
      <c r="D190" s="63">
        <f t="shared" si="29"/>
        <v>3.2644027941074759E-2</v>
      </c>
      <c r="I190" s="153" t="s">
        <v>281</v>
      </c>
      <c r="J190" s="154">
        <f>+SUM(J191:J192)</f>
        <v>908</v>
      </c>
      <c r="K190" s="154">
        <f t="shared" ref="K190:M190" si="30">+SUM(K191:K192)</f>
        <v>4296</v>
      </c>
      <c r="L190" s="154">
        <f t="shared" si="30"/>
        <v>8264</v>
      </c>
      <c r="M190" s="154">
        <f t="shared" si="30"/>
        <v>15450</v>
      </c>
      <c r="N190" s="155">
        <f>+V186*1000</f>
        <v>28918.000000000004</v>
      </c>
      <c r="Y190" s="53" t="s">
        <v>388</v>
      </c>
      <c r="Z190" s="63">
        <f>+VLOOKUP(Y190,$B$187:$D$198,3,FALSE)</f>
        <v>1.4523825990732415E-2</v>
      </c>
    </row>
    <row r="191" spans="2:50" ht="15" x14ac:dyDescent="0.25">
      <c r="B191" s="53" t="str">
        <f t="shared" si="28"/>
        <v>Meta Platforms</v>
      </c>
      <c r="D191" s="63">
        <f t="shared" si="29"/>
        <v>0.10730340964105402</v>
      </c>
      <c r="I191" s="156" t="s">
        <v>282</v>
      </c>
      <c r="J191" s="154">
        <f>+'GB200-300 Tracker'!AR40</f>
        <v>908</v>
      </c>
      <c r="K191" s="154">
        <f>+'GB200-300 Tracker'!AS40</f>
        <v>4296</v>
      </c>
      <c r="L191" s="154">
        <f>+'GB200-300 Tracker'!AT40</f>
        <v>8264</v>
      </c>
      <c r="M191" s="154">
        <f>+'GB200-300 Tracker'!AU40</f>
        <v>10750</v>
      </c>
      <c r="N191" s="155">
        <f>SUM(J191:M191)</f>
        <v>24218</v>
      </c>
      <c r="O191" s="63">
        <f>+N191/N190</f>
        <v>0.83747147105608954</v>
      </c>
      <c r="Y191" s="53" t="s">
        <v>389</v>
      </c>
      <c r="Z191" s="63">
        <f>+VLOOKUP(Y191,$B$187:$D$198,3,FALSE)</f>
        <v>5.8786914724393118E-3</v>
      </c>
    </row>
    <row r="192" spans="2:50" ht="15.75" thickBot="1" x14ac:dyDescent="0.3">
      <c r="B192" s="53" t="str">
        <f t="shared" si="28"/>
        <v>Other non-hyperscalers</v>
      </c>
      <c r="D192" s="63">
        <f t="shared" si="29"/>
        <v>0.32917214191852823</v>
      </c>
      <c r="I192" s="157" t="s">
        <v>283</v>
      </c>
      <c r="J192" s="158">
        <f>+'GB200-300 Tracker'!AR41</f>
        <v>0</v>
      </c>
      <c r="K192" s="158">
        <f>+'GB200-300 Tracker'!AS41</f>
        <v>0</v>
      </c>
      <c r="L192" s="158">
        <f>+'GB200-300 Tracker'!AT41</f>
        <v>0</v>
      </c>
      <c r="M192" s="158">
        <f>+'GB200-300 Tracker'!AU41</f>
        <v>4700</v>
      </c>
      <c r="N192" s="159">
        <f>SUM(J192:M192)</f>
        <v>4700</v>
      </c>
      <c r="O192" s="63">
        <f>+N192/N190</f>
        <v>0.16252852894391034</v>
      </c>
      <c r="Y192" s="53" t="s">
        <v>189</v>
      </c>
      <c r="Z192" s="63">
        <f>1-SUM(Z183:Z191)</f>
        <v>0.10820250363095629</v>
      </c>
    </row>
    <row r="193" spans="2:26" ht="15" x14ac:dyDescent="0.25">
      <c r="B193" s="116" t="str">
        <f t="shared" si="28"/>
        <v>Coreweave</v>
      </c>
      <c r="D193" s="63">
        <f t="shared" si="29"/>
        <v>8.2993291375613801E-2</v>
      </c>
    </row>
    <row r="194" spans="2:26" ht="15" x14ac:dyDescent="0.25">
      <c r="B194" s="116" t="str">
        <f t="shared" si="28"/>
        <v>Tesla/X</v>
      </c>
      <c r="D194" s="63">
        <f t="shared" si="29"/>
        <v>0.11757382944878622</v>
      </c>
    </row>
    <row r="195" spans="2:26" ht="15" x14ac:dyDescent="0.25">
      <c r="B195" s="116" t="str">
        <f t="shared" si="28"/>
        <v>Nebius</v>
      </c>
      <c r="D195" s="63">
        <f t="shared" si="29"/>
        <v>1.4523825990732415E-2</v>
      </c>
      <c r="E195" s="63"/>
      <c r="Y195" s="54" t="s">
        <v>191</v>
      </c>
    </row>
    <row r="196" spans="2:26" ht="15" x14ac:dyDescent="0.25">
      <c r="B196" s="116" t="str">
        <f t="shared" si="28"/>
        <v>MegaSpeed</v>
      </c>
      <c r="D196" s="63">
        <f t="shared" si="29"/>
        <v>5.8786914724393118E-3</v>
      </c>
      <c r="E196" s="61"/>
      <c r="F196" s="139"/>
      <c r="Y196" s="53" t="str">
        <f>+I200</f>
        <v>Quanta</v>
      </c>
      <c r="Z196" s="63">
        <f>+V200/V$213</f>
        <v>0.24168012924071086</v>
      </c>
    </row>
    <row r="197" spans="2:26" ht="15" x14ac:dyDescent="0.25">
      <c r="B197" s="116" t="str">
        <f t="shared" si="28"/>
        <v>Lambda</v>
      </c>
      <c r="D197" s="63">
        <f t="shared" si="29"/>
        <v>3.4580538073172421E-3</v>
      </c>
      <c r="E197" s="55"/>
      <c r="Y197" s="53" t="str">
        <f>+I202</f>
        <v>FII/HH</v>
      </c>
      <c r="Z197" s="63">
        <f>+V202/V$213</f>
        <v>0.40969305331179329</v>
      </c>
    </row>
    <row r="198" spans="2:26" ht="15" x14ac:dyDescent="0.25">
      <c r="B198" s="116" t="str">
        <f t="shared" si="28"/>
        <v>TogetherAI</v>
      </c>
      <c r="D198" s="63">
        <f t="shared" si="29"/>
        <v>0</v>
      </c>
      <c r="E198" s="55"/>
      <c r="Y198" s="53" t="str">
        <f>+I204</f>
        <v>Wistron</v>
      </c>
      <c r="Z198" s="63">
        <f>+V204/V$213</f>
        <v>0.18255250403877224</v>
      </c>
    </row>
    <row r="199" spans="2:26" ht="15" x14ac:dyDescent="0.25">
      <c r="B199" s="116" t="str">
        <f t="shared" si="28"/>
        <v>Others</v>
      </c>
      <c r="D199" s="63">
        <f t="shared" si="29"/>
        <v>0.10474444982363926</v>
      </c>
      <c r="E199" s="55"/>
      <c r="I199" s="54" t="s">
        <v>240</v>
      </c>
      <c r="J199" s="134" t="s">
        <v>241</v>
      </c>
      <c r="K199" s="134" t="s">
        <v>242</v>
      </c>
      <c r="L199" s="134" t="s">
        <v>243</v>
      </c>
      <c r="M199" s="134" t="s">
        <v>244</v>
      </c>
      <c r="N199" s="134" t="s">
        <v>245</v>
      </c>
      <c r="O199" s="134" t="s">
        <v>246</v>
      </c>
      <c r="P199" s="134" t="s">
        <v>216</v>
      </c>
      <c r="Q199" s="134" t="s">
        <v>388</v>
      </c>
      <c r="R199" s="134" t="s">
        <v>389</v>
      </c>
      <c r="S199" s="134" t="s">
        <v>265</v>
      </c>
      <c r="T199" s="134" t="s">
        <v>390</v>
      </c>
      <c r="U199" s="134" t="s">
        <v>189</v>
      </c>
      <c r="V199" s="134" t="s">
        <v>204</v>
      </c>
      <c r="Y199" s="53" t="s">
        <v>222</v>
      </c>
      <c r="Z199" s="63">
        <f>+V203/V$213</f>
        <v>6.4620355411954781E-4</v>
      </c>
    </row>
    <row r="200" spans="2:26" ht="15" x14ac:dyDescent="0.25">
      <c r="B200" s="116"/>
      <c r="D200" s="63"/>
      <c r="E200" s="55"/>
      <c r="I200" s="53" t="s">
        <v>220</v>
      </c>
      <c r="J200" s="140"/>
      <c r="K200" s="140">
        <v>3.2</v>
      </c>
      <c r="L200" s="140">
        <v>9.1999999999999993</v>
      </c>
      <c r="M200" s="140">
        <v>3.8</v>
      </c>
      <c r="N200" s="140"/>
      <c r="O200" s="140"/>
      <c r="P200" s="140">
        <v>2.5</v>
      </c>
      <c r="Q200" s="140"/>
      <c r="R200" s="140"/>
      <c r="S200" s="140"/>
      <c r="T200" s="140"/>
      <c r="U200" s="140">
        <v>0</v>
      </c>
      <c r="V200" s="140">
        <f t="shared" ref="V200:V213" si="31">+SUM(J200:U200)</f>
        <v>18.7</v>
      </c>
      <c r="Y200" s="53" t="s">
        <v>274</v>
      </c>
      <c r="Z200" s="63">
        <f>+V205/V$213</f>
        <v>8.2714054927302119E-2</v>
      </c>
    </row>
    <row r="201" spans="2:26" ht="15" x14ac:dyDescent="0.25">
      <c r="B201" s="56" t="s">
        <v>284</v>
      </c>
      <c r="E201" s="55"/>
      <c r="I201" s="53" t="s">
        <v>251</v>
      </c>
      <c r="J201" s="140"/>
      <c r="K201" s="140"/>
      <c r="L201" s="140"/>
      <c r="M201" s="140"/>
      <c r="N201" s="140"/>
      <c r="O201" s="140"/>
      <c r="P201" s="140"/>
      <c r="Q201" s="140"/>
      <c r="R201" s="140"/>
      <c r="S201" s="140"/>
      <c r="T201" s="140"/>
      <c r="U201" s="140"/>
      <c r="V201" s="140">
        <f t="shared" si="31"/>
        <v>0</v>
      </c>
      <c r="Y201" s="53" t="s">
        <v>257</v>
      </c>
      <c r="Z201" s="63">
        <f>+V207/V213</f>
        <v>1.1631663974151859E-2</v>
      </c>
    </row>
    <row r="202" spans="2:26" ht="15" x14ac:dyDescent="0.25">
      <c r="B202" s="54" t="s">
        <v>285</v>
      </c>
      <c r="D202" s="138">
        <f>+SUM(D203:D208)</f>
        <v>77.375</v>
      </c>
      <c r="E202" s="55"/>
      <c r="I202" s="53" t="s">
        <v>223</v>
      </c>
      <c r="J202" s="140">
        <v>18</v>
      </c>
      <c r="K202" s="140"/>
      <c r="L202" s="140"/>
      <c r="M202" s="140">
        <v>1</v>
      </c>
      <c r="N202" s="140"/>
      <c r="O202" s="140"/>
      <c r="P202" s="140">
        <v>6.65</v>
      </c>
      <c r="Q202" s="140"/>
      <c r="R202" s="140"/>
      <c r="S202" s="140"/>
      <c r="T202" s="140"/>
      <c r="U202" s="140">
        <v>6.05</v>
      </c>
      <c r="V202" s="140">
        <f t="shared" si="31"/>
        <v>31.7</v>
      </c>
      <c r="Y202" s="53" t="s">
        <v>202</v>
      </c>
      <c r="Z202" s="63">
        <f>+V209/V$213</f>
        <v>6.4620355411954778E-3</v>
      </c>
    </row>
    <row r="203" spans="2:26" ht="15" x14ac:dyDescent="0.25">
      <c r="B203" s="53" t="s">
        <v>209</v>
      </c>
      <c r="D203" s="140">
        <v>18</v>
      </c>
      <c r="E203" s="55"/>
      <c r="I203" s="53" t="s">
        <v>222</v>
      </c>
      <c r="J203" s="140"/>
      <c r="K203" s="140"/>
      <c r="L203" s="140"/>
      <c r="M203" s="140"/>
      <c r="N203" s="140"/>
      <c r="O203" s="140"/>
      <c r="P203" s="140">
        <v>0.05</v>
      </c>
      <c r="Q203" s="140"/>
      <c r="R203" s="140"/>
      <c r="S203" s="140"/>
      <c r="T203" s="140"/>
      <c r="U203" s="140">
        <v>0</v>
      </c>
      <c r="V203" s="140">
        <f t="shared" si="31"/>
        <v>0.05</v>
      </c>
      <c r="Y203" s="53" t="s">
        <v>270</v>
      </c>
      <c r="Z203" s="63">
        <f>+V210/V213</f>
        <v>1.2924071082390956E-2</v>
      </c>
    </row>
    <row r="204" spans="2:26" ht="15" x14ac:dyDescent="0.25">
      <c r="B204" s="53" t="s">
        <v>216</v>
      </c>
      <c r="D204" s="140">
        <v>11.2</v>
      </c>
      <c r="E204" s="55"/>
      <c r="I204" s="53" t="s">
        <v>253</v>
      </c>
      <c r="J204" s="140"/>
      <c r="K204" s="140"/>
      <c r="L204" s="140"/>
      <c r="M204" s="140"/>
      <c r="N204" s="140">
        <v>4.5</v>
      </c>
      <c r="O204" s="140">
        <v>4.5</v>
      </c>
      <c r="P204" s="140">
        <v>0</v>
      </c>
      <c r="Q204" s="140"/>
      <c r="R204" s="140"/>
      <c r="S204" s="140"/>
      <c r="T204" s="140"/>
      <c r="U204" s="140">
        <v>5.125</v>
      </c>
      <c r="V204" s="140">
        <f t="shared" si="31"/>
        <v>14.125</v>
      </c>
      <c r="Y204" s="53" t="s">
        <v>391</v>
      </c>
      <c r="Z204" s="63">
        <f>+V211/V213</f>
        <v>3.231017770597739E-2</v>
      </c>
    </row>
    <row r="205" spans="2:26" ht="15" x14ac:dyDescent="0.25">
      <c r="B205" s="53" t="s">
        <v>210</v>
      </c>
      <c r="D205" s="140">
        <v>3.2</v>
      </c>
      <c r="E205" s="55"/>
      <c r="I205" s="53" t="s">
        <v>254</v>
      </c>
      <c r="J205" s="140"/>
      <c r="K205" s="140"/>
      <c r="L205" s="140"/>
      <c r="M205" s="140"/>
      <c r="N205" s="140"/>
      <c r="O205" s="140">
        <v>2.5</v>
      </c>
      <c r="P205" s="140">
        <v>2</v>
      </c>
      <c r="Q205" s="140">
        <v>1.4</v>
      </c>
      <c r="R205" s="140"/>
      <c r="S205" s="140">
        <v>0.5</v>
      </c>
      <c r="T205" s="140"/>
      <c r="U205" s="140">
        <v>0</v>
      </c>
      <c r="V205" s="140">
        <f t="shared" si="31"/>
        <v>6.4</v>
      </c>
      <c r="Y205" s="53" t="str">
        <f>+I212</f>
        <v>Others</v>
      </c>
      <c r="Z205" s="63">
        <f>1-SUM(Z196:Z204)</f>
        <v>1.9386106623586197E-2</v>
      </c>
    </row>
    <row r="206" spans="2:26" x14ac:dyDescent="0.2">
      <c r="B206" s="53" t="s">
        <v>211</v>
      </c>
      <c r="D206" s="140">
        <v>9.1999999999999993</v>
      </c>
      <c r="I206" s="53" t="s">
        <v>256</v>
      </c>
      <c r="J206" s="140"/>
      <c r="K206" s="140"/>
      <c r="L206" s="140"/>
      <c r="M206" s="140"/>
      <c r="N206" s="140"/>
      <c r="O206" s="140"/>
      <c r="P206" s="140"/>
      <c r="Q206" s="140"/>
      <c r="R206" s="140"/>
      <c r="S206" s="140"/>
      <c r="T206" s="140"/>
      <c r="U206" s="140">
        <v>1.5</v>
      </c>
      <c r="V206" s="140">
        <f t="shared" si="31"/>
        <v>1.5</v>
      </c>
    </row>
    <row r="207" spans="2:26" x14ac:dyDescent="0.2">
      <c r="B207" s="53" t="s">
        <v>213</v>
      </c>
      <c r="D207" s="140">
        <v>4.8</v>
      </c>
      <c r="I207" s="53" t="s">
        <v>257</v>
      </c>
      <c r="J207" s="140"/>
      <c r="K207" s="140"/>
      <c r="L207" s="140"/>
      <c r="M207" s="140"/>
      <c r="N207" s="140"/>
      <c r="O207" s="140"/>
      <c r="P207" s="140"/>
      <c r="Q207" s="140">
        <v>0.7</v>
      </c>
      <c r="R207" s="140">
        <v>0</v>
      </c>
      <c r="S207" s="140"/>
      <c r="T207" s="140"/>
      <c r="U207" s="140">
        <v>0.2</v>
      </c>
      <c r="V207" s="140">
        <f t="shared" si="31"/>
        <v>0.89999999999999991</v>
      </c>
    </row>
    <row r="208" spans="2:26" x14ac:dyDescent="0.2">
      <c r="B208" s="53" t="s">
        <v>255</v>
      </c>
      <c r="D208" s="140">
        <f>+SUM(D209:D215)</f>
        <v>30.975000000000001</v>
      </c>
      <c r="I208" s="53" t="s">
        <v>259</v>
      </c>
      <c r="J208" s="140"/>
      <c r="K208" s="140"/>
      <c r="L208" s="140"/>
      <c r="M208" s="140"/>
      <c r="N208" s="140"/>
      <c r="O208" s="140"/>
      <c r="P208" s="140"/>
      <c r="Q208" s="140"/>
      <c r="R208" s="140"/>
      <c r="S208" s="140"/>
      <c r="T208" s="140"/>
      <c r="U208" s="140"/>
      <c r="V208" s="140">
        <f t="shared" si="31"/>
        <v>0</v>
      </c>
      <c r="Y208" s="54" t="s">
        <v>194</v>
      </c>
    </row>
    <row r="209" spans="2:26" ht="15" x14ac:dyDescent="0.25">
      <c r="B209" s="116" t="s">
        <v>215</v>
      </c>
      <c r="D209" s="140">
        <v>4.5</v>
      </c>
      <c r="I209" s="53" t="s">
        <v>202</v>
      </c>
      <c r="J209" s="140"/>
      <c r="K209" s="140"/>
      <c r="L209" s="140"/>
      <c r="M209" s="140"/>
      <c r="N209" s="140"/>
      <c r="O209" s="140"/>
      <c r="P209" s="140"/>
      <c r="Q209" s="140">
        <v>0.4</v>
      </c>
      <c r="R209" s="140"/>
      <c r="S209" s="140"/>
      <c r="T209" s="140"/>
      <c r="U209" s="140">
        <v>0.1</v>
      </c>
      <c r="V209" s="140">
        <f t="shared" si="31"/>
        <v>0.5</v>
      </c>
      <c r="Y209" s="53" t="str">
        <f>+B219</f>
        <v>Microsoft</v>
      </c>
      <c r="Z209" s="63">
        <f t="shared" ref="Z209:Z215" si="32">+VLOOKUP(Y209,$B$219:$D$227,3,FALSE)</f>
        <v>0.23263327948303716</v>
      </c>
    </row>
    <row r="210" spans="2:26" ht="15" x14ac:dyDescent="0.25">
      <c r="B210" s="116" t="s">
        <v>246</v>
      </c>
      <c r="D210" s="140">
        <v>7</v>
      </c>
      <c r="I210" s="53" t="s">
        <v>270</v>
      </c>
      <c r="J210" s="140"/>
      <c r="K210" s="140"/>
      <c r="L210" s="140"/>
      <c r="M210" s="140"/>
      <c r="N210" s="140"/>
      <c r="O210" s="140"/>
      <c r="P210" s="140"/>
      <c r="Q210" s="140"/>
      <c r="R210" s="140"/>
      <c r="S210" s="140"/>
      <c r="T210" s="140"/>
      <c r="U210" s="140">
        <v>1</v>
      </c>
      <c r="V210" s="140">
        <f t="shared" si="31"/>
        <v>1</v>
      </c>
      <c r="Y210" s="53" t="str">
        <f>+B220</f>
        <v>Oracle</v>
      </c>
      <c r="Z210" s="63">
        <f t="shared" si="32"/>
        <v>0.14474959612277866</v>
      </c>
    </row>
    <row r="211" spans="2:26" ht="15" x14ac:dyDescent="0.25">
      <c r="B211" s="116" t="s">
        <v>388</v>
      </c>
      <c r="D211" s="140">
        <v>2.5</v>
      </c>
      <c r="I211" s="53" t="s">
        <v>391</v>
      </c>
      <c r="Q211" s="140"/>
      <c r="R211" s="140"/>
      <c r="S211" s="140">
        <v>0.8</v>
      </c>
      <c r="T211" s="140">
        <v>1.5</v>
      </c>
      <c r="U211" s="140">
        <v>0.2</v>
      </c>
      <c r="V211" s="140">
        <f t="shared" si="31"/>
        <v>2.5</v>
      </c>
      <c r="Y211" s="53" t="str">
        <f>+B221</f>
        <v>Google</v>
      </c>
      <c r="Z211" s="63">
        <f t="shared" si="32"/>
        <v>4.1357027463651053E-2</v>
      </c>
    </row>
    <row r="212" spans="2:26" ht="15" x14ac:dyDescent="0.25">
      <c r="B212" s="116" t="s">
        <v>389</v>
      </c>
      <c r="D212" s="140">
        <v>0</v>
      </c>
      <c r="I212" s="53" t="s">
        <v>189</v>
      </c>
      <c r="J212" s="140">
        <f t="shared" ref="J212:P212" si="33">+J213-SUM(J200:J210)</f>
        <v>0</v>
      </c>
      <c r="K212" s="140">
        <f t="shared" si="33"/>
        <v>0</v>
      </c>
      <c r="L212" s="140">
        <f t="shared" si="33"/>
        <v>0</v>
      </c>
      <c r="M212" s="140">
        <f t="shared" si="33"/>
        <v>0</v>
      </c>
      <c r="N212" s="140">
        <f t="shared" si="33"/>
        <v>0</v>
      </c>
      <c r="O212" s="140">
        <f t="shared" si="33"/>
        <v>0</v>
      </c>
      <c r="P212" s="140">
        <f t="shared" si="33"/>
        <v>0</v>
      </c>
      <c r="Q212" s="140">
        <f t="shared" ref="Q212:R212" si="34">+Q213-SUM(Q200:Q210)</f>
        <v>0</v>
      </c>
      <c r="R212" s="140">
        <f t="shared" si="34"/>
        <v>0</v>
      </c>
      <c r="S212" s="140">
        <f>+S213-SUM(S200:S211)</f>
        <v>0</v>
      </c>
      <c r="T212" s="140">
        <f>+T213-SUM(T200:T211)</f>
        <v>0</v>
      </c>
      <c r="U212" s="140">
        <f>+U213-SUM(U200:U211)</f>
        <v>0</v>
      </c>
      <c r="V212" s="140">
        <f t="shared" si="31"/>
        <v>0</v>
      </c>
      <c r="Y212" s="53" t="str">
        <f>+B222</f>
        <v>Amazon</v>
      </c>
      <c r="Z212" s="63">
        <f t="shared" si="32"/>
        <v>0.11890145395799676</v>
      </c>
    </row>
    <row r="213" spans="2:26" ht="15" x14ac:dyDescent="0.25">
      <c r="B213" s="116" t="s">
        <v>265</v>
      </c>
      <c r="D213" s="140">
        <v>1.3</v>
      </c>
      <c r="I213" s="54" t="s">
        <v>204</v>
      </c>
      <c r="J213" s="138">
        <f>+D203</f>
        <v>18</v>
      </c>
      <c r="K213" s="138">
        <f>+D205</f>
        <v>3.2</v>
      </c>
      <c r="L213" s="138">
        <f>+D206</f>
        <v>9.1999999999999993</v>
      </c>
      <c r="M213" s="138">
        <f>+D207</f>
        <v>4.8</v>
      </c>
      <c r="N213" s="138">
        <f>+D209</f>
        <v>4.5</v>
      </c>
      <c r="O213" s="138">
        <f>+D210</f>
        <v>7</v>
      </c>
      <c r="P213" s="138">
        <f>+D204</f>
        <v>11.2</v>
      </c>
      <c r="Q213" s="138">
        <f>+D211</f>
        <v>2.5</v>
      </c>
      <c r="R213" s="138">
        <f>+D212</f>
        <v>0</v>
      </c>
      <c r="S213" s="138">
        <f>+D213</f>
        <v>1.3</v>
      </c>
      <c r="T213" s="138">
        <f>+D214</f>
        <v>1.5</v>
      </c>
      <c r="U213" s="138">
        <f>+D215</f>
        <v>14.175000000000001</v>
      </c>
      <c r="V213" s="149">
        <f t="shared" si="31"/>
        <v>77.374999999999986</v>
      </c>
      <c r="Y213" s="53" t="str">
        <f>+B223</f>
        <v>Meta Platforms</v>
      </c>
      <c r="Z213" s="63">
        <f t="shared" si="32"/>
        <v>6.2035541195476572E-2</v>
      </c>
    </row>
    <row r="214" spans="2:26" ht="15" x14ac:dyDescent="0.25">
      <c r="B214" s="116" t="s">
        <v>390</v>
      </c>
      <c r="D214" s="140">
        <v>1.5</v>
      </c>
      <c r="Y214" s="53" t="s">
        <v>215</v>
      </c>
      <c r="Z214" s="63">
        <f t="shared" si="32"/>
        <v>5.8158319870759291E-2</v>
      </c>
    </row>
    <row r="215" spans="2:26" ht="15" x14ac:dyDescent="0.25">
      <c r="B215" s="116" t="s">
        <v>189</v>
      </c>
      <c r="D215" s="140">
        <v>14.175000000000001</v>
      </c>
      <c r="Y215" s="53" t="s">
        <v>246</v>
      </c>
      <c r="Z215" s="63">
        <f t="shared" si="32"/>
        <v>9.0468497576736667E-2</v>
      </c>
    </row>
    <row r="216" spans="2:26" ht="15" x14ac:dyDescent="0.25">
      <c r="B216" s="116"/>
      <c r="D216" s="70"/>
      <c r="Y216" s="53" t="s">
        <v>388</v>
      </c>
      <c r="Z216" s="63">
        <f>+VLOOKUP(Y216,$B$219:$D$230,3,FALSE)</f>
        <v>3.2310177705977383E-2</v>
      </c>
    </row>
    <row r="217" spans="2:26" ht="15" x14ac:dyDescent="0.25">
      <c r="B217" s="116"/>
      <c r="D217" s="70"/>
      <c r="Y217" s="53" t="s">
        <v>389</v>
      </c>
      <c r="Z217" s="63">
        <f t="shared" ref="Z217:Z219" si="35">+VLOOKUP(Y217,$B$219:$D$230,3,FALSE)</f>
        <v>0</v>
      </c>
    </row>
    <row r="218" spans="2:26" ht="15" x14ac:dyDescent="0.25">
      <c r="B218" s="54" t="s">
        <v>194</v>
      </c>
      <c r="Y218" s="53" t="s">
        <v>265</v>
      </c>
      <c r="Z218" s="63">
        <f t="shared" si="35"/>
        <v>1.6801292407108238E-2</v>
      </c>
    </row>
    <row r="219" spans="2:26" ht="15" x14ac:dyDescent="0.25">
      <c r="B219" s="53" t="str">
        <f t="shared" ref="B219:B231" si="36">+B203</f>
        <v>Microsoft</v>
      </c>
      <c r="D219" s="63">
        <f t="shared" ref="D219:D231" si="37">+D203/D$202</f>
        <v>0.23263327948303716</v>
      </c>
      <c r="Y219" s="53" t="s">
        <v>390</v>
      </c>
      <c r="Z219" s="63">
        <f t="shared" si="35"/>
        <v>1.9386106623586429E-2</v>
      </c>
    </row>
    <row r="220" spans="2:26" ht="15" x14ac:dyDescent="0.25">
      <c r="B220" s="53" t="str">
        <f t="shared" si="36"/>
        <v>Oracle</v>
      </c>
      <c r="D220" s="63">
        <f t="shared" si="37"/>
        <v>0.14474959612277866</v>
      </c>
      <c r="Y220" s="53" t="s">
        <v>189</v>
      </c>
      <c r="Z220" s="63">
        <f>1-SUM(Z209:Z219)</f>
        <v>0.18319870759289181</v>
      </c>
    </row>
    <row r="221" spans="2:26" ht="15" x14ac:dyDescent="0.25">
      <c r="B221" s="53" t="str">
        <f t="shared" si="36"/>
        <v>Google</v>
      </c>
      <c r="D221" s="63">
        <f t="shared" si="37"/>
        <v>4.1357027463651053E-2</v>
      </c>
    </row>
    <row r="222" spans="2:26" ht="15" x14ac:dyDescent="0.25">
      <c r="B222" s="53" t="str">
        <f t="shared" si="36"/>
        <v>Amazon</v>
      </c>
      <c r="D222" s="63">
        <f t="shared" si="37"/>
        <v>0.11890145395799676</v>
      </c>
    </row>
    <row r="223" spans="2:26" ht="15" x14ac:dyDescent="0.25">
      <c r="B223" s="53" t="str">
        <f t="shared" si="36"/>
        <v>Meta Platforms</v>
      </c>
      <c r="D223" s="63">
        <f t="shared" si="37"/>
        <v>6.2035541195476572E-2</v>
      </c>
    </row>
    <row r="224" spans="2:26" ht="15" x14ac:dyDescent="0.25">
      <c r="B224" s="53" t="str">
        <f t="shared" si="36"/>
        <v>Other non-hyperscalers</v>
      </c>
      <c r="D224" s="63">
        <f t="shared" si="37"/>
        <v>0.40032310177705982</v>
      </c>
    </row>
    <row r="225" spans="2:4" ht="15" x14ac:dyDescent="0.25">
      <c r="B225" s="116" t="str">
        <f t="shared" si="36"/>
        <v>Coreweave</v>
      </c>
      <c r="D225" s="63">
        <f t="shared" si="37"/>
        <v>5.8158319870759291E-2</v>
      </c>
    </row>
    <row r="226" spans="2:4" ht="15" x14ac:dyDescent="0.25">
      <c r="B226" s="116" t="str">
        <f t="shared" si="36"/>
        <v>Tesla/X</v>
      </c>
      <c r="D226" s="63">
        <f t="shared" si="37"/>
        <v>9.0468497576736667E-2</v>
      </c>
    </row>
    <row r="227" spans="2:4" ht="15" x14ac:dyDescent="0.25">
      <c r="B227" s="116" t="str">
        <f t="shared" si="36"/>
        <v>Nebius</v>
      </c>
      <c r="D227" s="63">
        <f t="shared" si="37"/>
        <v>3.2310177705977383E-2</v>
      </c>
    </row>
    <row r="228" spans="2:4" ht="15" x14ac:dyDescent="0.25">
      <c r="B228" s="116" t="str">
        <f t="shared" si="36"/>
        <v>MegaSpeed</v>
      </c>
      <c r="D228" s="63">
        <f t="shared" si="37"/>
        <v>0</v>
      </c>
    </row>
    <row r="229" spans="2:4" ht="15" x14ac:dyDescent="0.25">
      <c r="B229" s="116" t="str">
        <f t="shared" si="36"/>
        <v>Lambda</v>
      </c>
      <c r="D229" s="63">
        <f t="shared" si="37"/>
        <v>1.6801292407108238E-2</v>
      </c>
    </row>
    <row r="230" spans="2:4" ht="15" x14ac:dyDescent="0.25">
      <c r="B230" s="116" t="str">
        <f t="shared" si="36"/>
        <v>TogetherAI</v>
      </c>
      <c r="D230" s="63">
        <f t="shared" si="37"/>
        <v>1.9386106623586429E-2</v>
      </c>
    </row>
    <row r="231" spans="2:4" ht="15" x14ac:dyDescent="0.25">
      <c r="B231" s="116" t="str">
        <f t="shared" si="36"/>
        <v>Others</v>
      </c>
      <c r="D231" s="63">
        <f t="shared" si="37"/>
        <v>0.18319870759289178</v>
      </c>
    </row>
    <row r="232" spans="2:4" ht="15" x14ac:dyDescent="0.25">
      <c r="B232" s="116"/>
      <c r="D232" s="63"/>
    </row>
    <row r="233" spans="2:4" ht="15" x14ac:dyDescent="0.25">
      <c r="B233" s="116"/>
      <c r="D233" s="63"/>
    </row>
    <row r="234" spans="2:4" ht="15" x14ac:dyDescent="0.25">
      <c r="B234" s="116"/>
      <c r="D234" s="63"/>
    </row>
    <row r="235" spans="2:4" ht="15" x14ac:dyDescent="0.25">
      <c r="B235" s="116"/>
      <c r="D235" s="63"/>
    </row>
    <row r="236" spans="2:4" ht="15" x14ac:dyDescent="0.25">
      <c r="B236" s="116"/>
      <c r="D236" s="63"/>
    </row>
    <row r="237" spans="2:4" ht="15" x14ac:dyDescent="0.25">
      <c r="B237" s="116"/>
      <c r="D237" s="63"/>
    </row>
    <row r="238" spans="2:4" ht="15" x14ac:dyDescent="0.25">
      <c r="B238" s="116"/>
      <c r="D238" s="63"/>
    </row>
    <row r="239" spans="2:4" ht="15" x14ac:dyDescent="0.25">
      <c r="B239" s="116"/>
      <c r="D239" s="63"/>
    </row>
    <row r="240" spans="2:4" ht="15" x14ac:dyDescent="0.25">
      <c r="B240" s="116"/>
      <c r="D240" s="63"/>
    </row>
    <row r="241" spans="2:26" ht="15" x14ac:dyDescent="0.25">
      <c r="B241" s="116"/>
      <c r="D241" s="63"/>
    </row>
    <row r="242" spans="2:26" ht="15" x14ac:dyDescent="0.25">
      <c r="B242" s="116"/>
      <c r="D242" s="63"/>
    </row>
    <row r="243" spans="2:26" ht="15" x14ac:dyDescent="0.25">
      <c r="B243" s="116"/>
      <c r="D243" s="63"/>
    </row>
    <row r="244" spans="2:26" ht="15" x14ac:dyDescent="0.25">
      <c r="B244" s="116"/>
      <c r="D244" s="63"/>
    </row>
    <row r="245" spans="2:26" ht="15" x14ac:dyDescent="0.25">
      <c r="B245" s="116"/>
      <c r="D245" s="63"/>
    </row>
    <row r="246" spans="2:26" ht="15" x14ac:dyDescent="0.25">
      <c r="B246" s="116"/>
      <c r="D246" s="63"/>
    </row>
    <row r="247" spans="2:26" ht="15" x14ac:dyDescent="0.25">
      <c r="B247" s="116"/>
      <c r="D247" s="63"/>
    </row>
    <row r="248" spans="2:26" ht="15" x14ac:dyDescent="0.25">
      <c r="B248" s="116"/>
      <c r="D248" s="63"/>
    </row>
    <row r="249" spans="2:26" ht="15" x14ac:dyDescent="0.25">
      <c r="B249" s="116"/>
      <c r="D249" s="63"/>
    </row>
    <row r="250" spans="2:26" ht="15" x14ac:dyDescent="0.25">
      <c r="B250" s="116"/>
      <c r="D250" s="63"/>
      <c r="I250" s="160" t="s">
        <v>286</v>
      </c>
      <c r="K250" s="54" t="s">
        <v>287</v>
      </c>
      <c r="L250" s="54" t="s">
        <v>288</v>
      </c>
      <c r="M250" s="54" t="s">
        <v>289</v>
      </c>
      <c r="N250" s="54" t="s">
        <v>290</v>
      </c>
    </row>
    <row r="251" spans="2:26" ht="15" x14ac:dyDescent="0.25">
      <c r="B251" s="116"/>
      <c r="D251" s="63"/>
      <c r="I251" s="63">
        <f>+E254/G254</f>
        <v>0.20692339293822565</v>
      </c>
    </row>
    <row r="252" spans="2:26" ht="15" x14ac:dyDescent="0.25">
      <c r="B252" s="116"/>
      <c r="D252" s="63"/>
      <c r="I252" s="63">
        <f>+E255/G255</f>
        <v>1.4175414364640881</v>
      </c>
    </row>
    <row r="253" spans="2:26" ht="15" x14ac:dyDescent="0.25">
      <c r="B253" s="116"/>
      <c r="D253" s="63"/>
      <c r="E253" s="54" t="s">
        <v>293</v>
      </c>
      <c r="F253" s="54" t="s">
        <v>294</v>
      </c>
      <c r="G253" s="54" t="s">
        <v>295</v>
      </c>
      <c r="I253" s="63">
        <f>+E256/G256</f>
        <v>7.8064138234002045E-2</v>
      </c>
      <c r="K253" s="161">
        <v>2300</v>
      </c>
      <c r="L253" s="53">
        <v>64</v>
      </c>
      <c r="M253" s="53">
        <v>375</v>
      </c>
      <c r="N253" s="162">
        <f>+K253/L253*M253/1000</f>
        <v>13.4765625</v>
      </c>
    </row>
    <row r="254" spans="2:26" ht="15" x14ac:dyDescent="0.25">
      <c r="B254" s="116"/>
      <c r="D254" s="63"/>
      <c r="E254" s="136">
        <f t="shared" ref="E254:E259" si="38">+D171*D$257</f>
        <v>19.139999999999997</v>
      </c>
      <c r="G254" s="136">
        <v>92.498000000000005</v>
      </c>
      <c r="I254" s="63">
        <f>+E257/G257</f>
        <v>2.8364868064028555E-2</v>
      </c>
      <c r="K254" s="161">
        <v>1500</v>
      </c>
      <c r="L254" s="161">
        <v>32</v>
      </c>
      <c r="M254" s="161">
        <v>350</v>
      </c>
      <c r="N254" s="162">
        <f>+K254/L254*M254/1000</f>
        <v>16.40625</v>
      </c>
    </row>
    <row r="255" spans="2:26" ht="15" x14ac:dyDescent="0.25">
      <c r="B255" s="116"/>
      <c r="D255" s="63"/>
      <c r="E255" s="136">
        <f t="shared" si="38"/>
        <v>25.657499999999999</v>
      </c>
      <c r="G255" s="136">
        <v>18.100000000000001</v>
      </c>
      <c r="I255" s="63">
        <f>+E258/G258</f>
        <v>0.15742309407044139</v>
      </c>
    </row>
    <row r="256" spans="2:26" ht="15" x14ac:dyDescent="0.25">
      <c r="B256" s="116"/>
      <c r="D256" s="63"/>
      <c r="E256" s="136">
        <f t="shared" si="38"/>
        <v>5.8640999999999996</v>
      </c>
      <c r="F256" s="55">
        <f>+N253</f>
        <v>13.4765625</v>
      </c>
      <c r="G256" s="136">
        <v>75.119</v>
      </c>
      <c r="Z256" s="63"/>
    </row>
    <row r="257" spans="2:26" ht="15" x14ac:dyDescent="0.25">
      <c r="B257" s="54" t="s">
        <v>291</v>
      </c>
      <c r="D257" s="136">
        <v>3.3</v>
      </c>
      <c r="E257" s="136">
        <f t="shared" si="38"/>
        <v>3.1151999999999997</v>
      </c>
      <c r="F257" s="55">
        <f>+N254</f>
        <v>16.40625</v>
      </c>
      <c r="G257" s="136">
        <v>109.82599999999999</v>
      </c>
      <c r="Z257" s="63"/>
    </row>
    <row r="258" spans="2:26" ht="15" x14ac:dyDescent="0.25">
      <c r="E258" s="136">
        <f t="shared" si="38"/>
        <v>10.2399</v>
      </c>
      <c r="G258" s="136">
        <v>65.046999999999997</v>
      </c>
      <c r="Z258" s="63"/>
    </row>
    <row r="259" spans="2:26" ht="15" x14ac:dyDescent="0.25">
      <c r="B259" s="54" t="s">
        <v>292</v>
      </c>
      <c r="D259" s="54" t="s">
        <v>196</v>
      </c>
      <c r="E259" s="136">
        <f t="shared" si="38"/>
        <v>31.412699999999994</v>
      </c>
      <c r="Z259" s="63"/>
    </row>
    <row r="260" spans="2:26" ht="15" x14ac:dyDescent="0.25">
      <c r="B260" s="53" t="str">
        <f t="shared" ref="B260:B265" si="39">+B171</f>
        <v>Microsoft</v>
      </c>
      <c r="E260" s="54">
        <f>SUM(E254:E259)</f>
        <v>95.429399999999987</v>
      </c>
      <c r="Z260" s="63"/>
    </row>
    <row r="261" spans="2:26" ht="15" x14ac:dyDescent="0.25">
      <c r="B261" s="53" t="str">
        <f t="shared" si="39"/>
        <v>Oracle</v>
      </c>
      <c r="Z261" s="63"/>
    </row>
    <row r="262" spans="2:26" ht="15" x14ac:dyDescent="0.25">
      <c r="B262" s="53" t="str">
        <f t="shared" si="39"/>
        <v>Google</v>
      </c>
      <c r="Z262" s="63"/>
    </row>
    <row r="263" spans="2:26" ht="15" x14ac:dyDescent="0.25">
      <c r="B263" s="53" t="str">
        <f t="shared" si="39"/>
        <v>Amazon</v>
      </c>
      <c r="Z263" s="63"/>
    </row>
    <row r="264" spans="2:26" ht="15" x14ac:dyDescent="0.25">
      <c r="B264" s="53" t="str">
        <f t="shared" si="39"/>
        <v>Meta Platforms</v>
      </c>
      <c r="Z264" s="63"/>
    </row>
    <row r="265" spans="2:26" x14ac:dyDescent="0.2">
      <c r="B265" s="53" t="str">
        <f t="shared" si="39"/>
        <v>Other non-hyperscalers</v>
      </c>
    </row>
    <row r="266" spans="2:26" x14ac:dyDescent="0.2">
      <c r="B266" s="54" t="s">
        <v>204</v>
      </c>
    </row>
    <row r="269" spans="2:26" x14ac:dyDescent="0.2">
      <c r="E269" s="70"/>
      <c r="F269" s="70"/>
      <c r="G269" s="70"/>
      <c r="H269" s="70"/>
    </row>
    <row r="270" spans="2:26" x14ac:dyDescent="0.2">
      <c r="E270" s="70"/>
      <c r="F270" s="70"/>
      <c r="G270" s="70"/>
      <c r="H270" s="70"/>
    </row>
    <row r="271" spans="2:26" x14ac:dyDescent="0.2">
      <c r="E271" s="70"/>
      <c r="F271" s="70"/>
      <c r="G271" s="70"/>
      <c r="H271" s="70"/>
    </row>
    <row r="276" spans="2:11" x14ac:dyDescent="0.2">
      <c r="E276" s="54"/>
      <c r="F276" s="54"/>
      <c r="G276" s="54"/>
      <c r="H276" s="54"/>
    </row>
    <row r="277" spans="2:11" x14ac:dyDescent="0.2">
      <c r="B277" s="54"/>
      <c r="C277" s="54"/>
      <c r="D277" s="54"/>
      <c r="E277" s="70"/>
      <c r="F277" s="70"/>
      <c r="G277" s="70"/>
      <c r="H277" s="70"/>
    </row>
    <row r="278" spans="2:11" x14ac:dyDescent="0.2">
      <c r="C278" s="70"/>
      <c r="D278" s="70"/>
      <c r="E278" s="70"/>
      <c r="F278" s="70"/>
      <c r="G278" s="70"/>
      <c r="H278" s="70"/>
    </row>
    <row r="279" spans="2:11" x14ac:dyDescent="0.2">
      <c r="C279" s="70"/>
      <c r="D279" s="70"/>
      <c r="E279" s="61"/>
      <c r="F279" s="61"/>
      <c r="G279" s="61"/>
      <c r="H279" s="61"/>
    </row>
    <row r="280" spans="2:11" x14ac:dyDescent="0.2">
      <c r="B280" s="54"/>
      <c r="C280" s="61"/>
      <c r="D280" s="61"/>
    </row>
    <row r="281" spans="2:11" ht="15.75" thickBot="1" x14ac:dyDescent="0.3">
      <c r="E281" s="63"/>
      <c r="F281" s="63"/>
      <c r="G281" s="63"/>
      <c r="H281" s="63"/>
    </row>
    <row r="282" spans="2:11" ht="15" x14ac:dyDescent="0.25">
      <c r="D282" s="63"/>
      <c r="I282" s="150" t="s">
        <v>296</v>
      </c>
      <c r="J282" s="151"/>
      <c r="K282" s="152" t="s">
        <v>297</v>
      </c>
    </row>
    <row r="283" spans="2:11" x14ac:dyDescent="0.2">
      <c r="I283" s="153" t="s">
        <v>21</v>
      </c>
      <c r="K283" s="155">
        <v>2240</v>
      </c>
    </row>
    <row r="284" spans="2:11" x14ac:dyDescent="0.2">
      <c r="E284" s="70"/>
      <c r="F284" s="70"/>
      <c r="G284" s="70"/>
      <c r="H284" s="70"/>
      <c r="I284" s="156" t="s">
        <v>196</v>
      </c>
      <c r="K284" s="155">
        <f>65*8</f>
        <v>520</v>
      </c>
    </row>
    <row r="285" spans="2:11" ht="12" thickBot="1" x14ac:dyDescent="0.25">
      <c r="B285" s="163"/>
      <c r="D285" s="70"/>
      <c r="E285" s="70"/>
      <c r="F285" s="70"/>
      <c r="G285" s="70"/>
      <c r="H285" s="70"/>
      <c r="I285" s="157" t="s">
        <v>298</v>
      </c>
      <c r="J285" s="157"/>
      <c r="K285" s="159">
        <f>+(K283-K284)/72</f>
        <v>23.888888888888889</v>
      </c>
    </row>
    <row r="286" spans="2:11" ht="15.75" thickBot="1" x14ac:dyDescent="0.3">
      <c r="B286" s="163"/>
      <c r="D286" s="70"/>
      <c r="E286" s="63"/>
      <c r="F286" s="63"/>
      <c r="G286" s="63"/>
      <c r="H286" s="63"/>
    </row>
    <row r="287" spans="2:11" ht="15" x14ac:dyDescent="0.25">
      <c r="D287" s="63"/>
      <c r="I287" s="150" t="s">
        <v>296</v>
      </c>
      <c r="J287" s="151"/>
      <c r="K287" s="152" t="s">
        <v>297</v>
      </c>
    </row>
    <row r="288" spans="2:11" x14ac:dyDescent="0.2">
      <c r="I288" s="153" t="s">
        <v>299</v>
      </c>
      <c r="K288" s="155">
        <v>2834</v>
      </c>
    </row>
    <row r="289" spans="9:11" x14ac:dyDescent="0.2">
      <c r="I289" s="156" t="s">
        <v>196</v>
      </c>
      <c r="K289" s="155">
        <f>85*8</f>
        <v>680</v>
      </c>
    </row>
    <row r="290" spans="9:11" ht="12" thickBot="1" x14ac:dyDescent="0.25">
      <c r="I290" s="157" t="s">
        <v>300</v>
      </c>
      <c r="J290" s="157"/>
      <c r="K290" s="159">
        <f>+(K288-K289)/72</f>
        <v>29.916666666666668</v>
      </c>
    </row>
  </sheetData>
  <pageMargins left="0.7" right="0.7" top="0.75" bottom="0.75" header="0.3" footer="0.3"/>
  <pageSetup paperSize="9" scale="95"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8EC57-AA1B-48A0-997C-AB857CDE81CF}">
  <dimension ref="B1:BG159"/>
  <sheetViews>
    <sheetView topLeftCell="A20" zoomScaleNormal="100" workbookViewId="0">
      <selection activeCell="R42" sqref="R42"/>
    </sheetView>
  </sheetViews>
  <sheetFormatPr defaultColWidth="8" defaultRowHeight="11.25" x14ac:dyDescent="0.2"/>
  <cols>
    <col min="1" max="1" width="2.85546875" style="53" customWidth="1"/>
    <col min="2" max="2" width="26.42578125" style="53" bestFit="1" customWidth="1"/>
    <col min="3" max="15" width="8" style="53"/>
    <col min="16" max="16" width="8" style="53" customWidth="1"/>
    <col min="17" max="27" width="8" style="53"/>
    <col min="28" max="28" width="14.5703125" style="53" customWidth="1"/>
    <col min="29" max="34" width="8" style="53"/>
    <col min="35" max="35" width="14.5703125" style="53" customWidth="1"/>
    <col min="36" max="16384" width="8" style="53"/>
  </cols>
  <sheetData>
    <row r="1" spans="2:6" ht="12" thickBot="1" x14ac:dyDescent="0.25"/>
    <row r="2" spans="2:6" x14ac:dyDescent="0.2">
      <c r="B2" s="150" t="s">
        <v>192</v>
      </c>
      <c r="C2" s="164">
        <v>2024</v>
      </c>
      <c r="D2" s="165">
        <v>2025</v>
      </c>
      <c r="E2" s="165">
        <v>2026</v>
      </c>
      <c r="F2" s="166">
        <v>2027</v>
      </c>
    </row>
    <row r="3" spans="2:6" x14ac:dyDescent="0.2">
      <c r="B3" s="153" t="s">
        <v>301</v>
      </c>
      <c r="C3" s="167">
        <v>400</v>
      </c>
      <c r="D3" s="167">
        <f>2240</f>
        <v>2240</v>
      </c>
      <c r="E3" s="167">
        <v>0</v>
      </c>
      <c r="F3" s="168">
        <v>0</v>
      </c>
    </row>
    <row r="4" spans="2:6" x14ac:dyDescent="0.2">
      <c r="B4" s="153" t="s">
        <v>302</v>
      </c>
      <c r="D4" s="167">
        <f>2834</f>
        <v>2834</v>
      </c>
      <c r="E4" s="167">
        <v>5460</v>
      </c>
      <c r="F4" s="168">
        <v>0</v>
      </c>
    </row>
    <row r="5" spans="2:6" x14ac:dyDescent="0.2">
      <c r="B5" s="153" t="s">
        <v>303</v>
      </c>
      <c r="E5" s="167">
        <v>2080</v>
      </c>
      <c r="F5" s="168">
        <f>+E4</f>
        <v>5460</v>
      </c>
    </row>
    <row r="6" spans="2:6" ht="12" thickBot="1" x14ac:dyDescent="0.25">
      <c r="B6" s="169" t="s">
        <v>304</v>
      </c>
      <c r="C6" s="170"/>
      <c r="D6" s="170"/>
      <c r="E6" s="170"/>
      <c r="F6" s="171">
        <f>+E5</f>
        <v>2080</v>
      </c>
    </row>
    <row r="7" spans="2:6" ht="12" thickBot="1" x14ac:dyDescent="0.25"/>
    <row r="8" spans="2:6" x14ac:dyDescent="0.2">
      <c r="B8" s="150" t="s">
        <v>305</v>
      </c>
      <c r="C8" s="172"/>
      <c r="D8" s="166">
        <f>+D2</f>
        <v>2025</v>
      </c>
    </row>
    <row r="9" spans="2:6" x14ac:dyDescent="0.2">
      <c r="B9" s="153" t="s">
        <v>306</v>
      </c>
      <c r="D9" s="173">
        <f>+D3+C3</f>
        <v>2640</v>
      </c>
    </row>
    <row r="10" spans="2:6" x14ac:dyDescent="0.2">
      <c r="B10" s="153" t="s">
        <v>307</v>
      </c>
      <c r="D10" s="174">
        <f>90*8</f>
        <v>720</v>
      </c>
    </row>
    <row r="11" spans="2:6" x14ac:dyDescent="0.2">
      <c r="B11" s="153" t="s">
        <v>308</v>
      </c>
      <c r="D11" s="173">
        <f>+D9-D10</f>
        <v>1920</v>
      </c>
    </row>
    <row r="12" spans="2:6" ht="15" x14ac:dyDescent="0.25">
      <c r="B12" s="153" t="s">
        <v>309</v>
      </c>
      <c r="D12" s="175">
        <f>+D11/72</f>
        <v>26.666666666666668</v>
      </c>
    </row>
    <row r="13" spans="2:6" x14ac:dyDescent="0.2">
      <c r="B13" s="153" t="s">
        <v>310</v>
      </c>
      <c r="D13" s="176">
        <v>0.95</v>
      </c>
    </row>
    <row r="14" spans="2:6" ht="12" thickBot="1" x14ac:dyDescent="0.25">
      <c r="B14" s="120" t="s">
        <v>311</v>
      </c>
      <c r="C14" s="177"/>
      <c r="D14" s="178">
        <f>+D12*D13</f>
        <v>25.333333333333332</v>
      </c>
    </row>
    <row r="15" spans="2:6" ht="15.75" thickBot="1" x14ac:dyDescent="0.3">
      <c r="D15" s="179"/>
    </row>
    <row r="16" spans="2:6" x14ac:dyDescent="0.2">
      <c r="B16" s="150" t="s">
        <v>312</v>
      </c>
      <c r="C16" s="172"/>
      <c r="D16" s="164">
        <f>+D2</f>
        <v>2025</v>
      </c>
      <c r="E16" s="166">
        <f>+E2</f>
        <v>2026</v>
      </c>
    </row>
    <row r="17" spans="2:20" x14ac:dyDescent="0.2">
      <c r="B17" s="153" t="s">
        <v>313</v>
      </c>
      <c r="D17" s="70">
        <f>+D4</f>
        <v>2834</v>
      </c>
      <c r="E17" s="173">
        <f>+E4</f>
        <v>5460</v>
      </c>
    </row>
    <row r="18" spans="2:20" x14ac:dyDescent="0.2">
      <c r="B18" s="153" t="s">
        <v>314</v>
      </c>
      <c r="D18" s="180">
        <f>30*8</f>
        <v>240</v>
      </c>
      <c r="E18" s="174">
        <f>200*8</f>
        <v>1600</v>
      </c>
    </row>
    <row r="19" spans="2:20" x14ac:dyDescent="0.2">
      <c r="B19" s="153" t="s">
        <v>315</v>
      </c>
      <c r="D19" s="70">
        <f>+D17-D18</f>
        <v>2594</v>
      </c>
      <c r="E19" s="173">
        <f>+E17-E18</f>
        <v>3860</v>
      </c>
    </row>
    <row r="20" spans="2:20" ht="15" x14ac:dyDescent="0.25">
      <c r="B20" s="153" t="s">
        <v>316</v>
      </c>
      <c r="D20" s="181">
        <f>+D19/72</f>
        <v>36.027777777777779</v>
      </c>
      <c r="E20" s="175">
        <f>+E19/72</f>
        <v>53.611111111111114</v>
      </c>
    </row>
    <row r="21" spans="2:20" x14ac:dyDescent="0.2">
      <c r="B21" s="153" t="s">
        <v>317</v>
      </c>
      <c r="D21" s="182">
        <v>0.95</v>
      </c>
      <c r="E21" s="176">
        <v>0.95</v>
      </c>
    </row>
    <row r="22" spans="2:20" ht="15" x14ac:dyDescent="0.25">
      <c r="B22" s="153" t="s">
        <v>318</v>
      </c>
      <c r="D22" s="181">
        <f>+D20*D21</f>
        <v>34.226388888888891</v>
      </c>
      <c r="E22" s="175">
        <f>+E20*E21</f>
        <v>50.930555555555557</v>
      </c>
    </row>
    <row r="23" spans="2:20" ht="15" x14ac:dyDescent="0.25">
      <c r="B23" s="153" t="s">
        <v>319</v>
      </c>
      <c r="D23" s="181">
        <f>+AU41/1000</f>
        <v>4.7</v>
      </c>
      <c r="E23" s="175"/>
    </row>
    <row r="24" spans="2:20" x14ac:dyDescent="0.2">
      <c r="B24" s="183" t="s">
        <v>320</v>
      </c>
      <c r="C24" s="184"/>
      <c r="D24" s="185">
        <f>+D22-D23</f>
        <v>29.526388888888892</v>
      </c>
      <c r="E24" s="186"/>
      <c r="T24" s="79"/>
    </row>
    <row r="25" spans="2:20" ht="12" thickBot="1" x14ac:dyDescent="0.25">
      <c r="B25" s="120" t="s">
        <v>321</v>
      </c>
      <c r="C25" s="177"/>
      <c r="D25" s="187"/>
      <c r="E25" s="178">
        <f>+D24+E22</f>
        <v>80.456944444444446</v>
      </c>
      <c r="T25" s="79"/>
    </row>
    <row r="26" spans="2:20" ht="12" thickBot="1" x14ac:dyDescent="0.25">
      <c r="B26" s="123"/>
    </row>
    <row r="27" spans="2:20" ht="15" x14ac:dyDescent="0.25">
      <c r="B27" s="150" t="s">
        <v>322</v>
      </c>
      <c r="C27" s="172"/>
      <c r="D27" s="172"/>
      <c r="E27" s="164">
        <f>+E2</f>
        <v>2026</v>
      </c>
      <c r="F27" s="166">
        <f>+F2</f>
        <v>2027</v>
      </c>
      <c r="P27" s="188"/>
    </row>
    <row r="28" spans="2:20" x14ac:dyDescent="0.2">
      <c r="B28" s="153" t="s">
        <v>323</v>
      </c>
      <c r="E28" s="70">
        <f>+E5</f>
        <v>2080</v>
      </c>
      <c r="F28" s="173">
        <f>+F5</f>
        <v>5460</v>
      </c>
    </row>
    <row r="29" spans="2:20" x14ac:dyDescent="0.2">
      <c r="B29" s="153" t="s">
        <v>324</v>
      </c>
      <c r="E29" s="180">
        <f>20*8</f>
        <v>160</v>
      </c>
      <c r="F29" s="174">
        <f>50*8</f>
        <v>400</v>
      </c>
    </row>
    <row r="30" spans="2:20" x14ac:dyDescent="0.2">
      <c r="B30" s="153" t="s">
        <v>325</v>
      </c>
      <c r="E30" s="70">
        <f>+E28-E29</f>
        <v>1920</v>
      </c>
      <c r="F30" s="173">
        <f>+F28-F29</f>
        <v>5060</v>
      </c>
    </row>
    <row r="31" spans="2:20" ht="15" x14ac:dyDescent="0.25">
      <c r="B31" s="153" t="s">
        <v>326</v>
      </c>
      <c r="E31" s="181">
        <f>+E30/72</f>
        <v>26.666666666666668</v>
      </c>
      <c r="F31" s="175">
        <f>+F30/72</f>
        <v>70.277777777777771</v>
      </c>
    </row>
    <row r="32" spans="2:20" x14ac:dyDescent="0.2">
      <c r="B32" s="153" t="s">
        <v>327</v>
      </c>
      <c r="E32" s="182">
        <v>0.95</v>
      </c>
      <c r="F32" s="176">
        <v>0.95</v>
      </c>
    </row>
    <row r="33" spans="2:59" ht="15" x14ac:dyDescent="0.25">
      <c r="B33" s="153" t="s">
        <v>328</v>
      </c>
      <c r="E33" s="181">
        <f>+E31*E32</f>
        <v>25.333333333333332</v>
      </c>
      <c r="F33" s="175">
        <f>+F31*F32</f>
        <v>66.763888888888886</v>
      </c>
    </row>
    <row r="34" spans="2:59" ht="15" x14ac:dyDescent="0.25">
      <c r="B34" s="153" t="s">
        <v>329</v>
      </c>
      <c r="E34" s="181">
        <f>+AY42/1000</f>
        <v>3</v>
      </c>
      <c r="F34" s="175"/>
    </row>
    <row r="35" spans="2:59" x14ac:dyDescent="0.2">
      <c r="B35" s="183" t="s">
        <v>330</v>
      </c>
      <c r="C35" s="184"/>
      <c r="D35" s="184"/>
      <c r="E35" s="185">
        <f>+E33-E34</f>
        <v>22.333333333333332</v>
      </c>
      <c r="F35" s="186"/>
      <c r="M35" s="79" t="s">
        <v>13</v>
      </c>
      <c r="N35" s="80">
        <f>+'ODM share analysis'!V186*1000-'GB200-300 Tracker'!AG40</f>
        <v>0</v>
      </c>
      <c r="Y35" s="79" t="s">
        <v>13</v>
      </c>
      <c r="Z35" s="80">
        <f>+'ODM share analysis'!V213*1000-AN40</f>
        <v>0</v>
      </c>
    </row>
    <row r="36" spans="2:59" ht="12" thickBot="1" x14ac:dyDescent="0.25">
      <c r="B36" s="120" t="s">
        <v>331</v>
      </c>
      <c r="C36" s="177"/>
      <c r="D36" s="177"/>
      <c r="E36" s="187"/>
      <c r="F36" s="178">
        <f>+E35+F33</f>
        <v>89.097222222222214</v>
      </c>
      <c r="T36" s="79"/>
      <c r="U36" s="80"/>
    </row>
    <row r="37" spans="2:59" ht="12" thickBot="1" x14ac:dyDescent="0.25">
      <c r="B37" s="123"/>
      <c r="C37" s="123"/>
      <c r="D37" s="123"/>
      <c r="E37" s="189"/>
      <c r="F37" s="189"/>
      <c r="T37" s="79"/>
      <c r="U37" s="80"/>
    </row>
    <row r="38" spans="2:59" ht="12" thickBot="1" x14ac:dyDescent="0.25">
      <c r="B38" s="150"/>
      <c r="C38" s="341">
        <v>2025</v>
      </c>
      <c r="D38" s="341"/>
      <c r="E38" s="341"/>
      <c r="F38" s="341"/>
      <c r="G38" s="341"/>
      <c r="H38" s="341"/>
      <c r="I38" s="341"/>
      <c r="J38" s="341"/>
      <c r="K38" s="341"/>
      <c r="L38" s="341"/>
      <c r="M38" s="341"/>
      <c r="N38" s="342"/>
      <c r="O38" s="341">
        <v>2026</v>
      </c>
      <c r="P38" s="341"/>
      <c r="Q38" s="341"/>
      <c r="R38" s="341"/>
      <c r="S38" s="341"/>
      <c r="T38" s="341"/>
      <c r="U38" s="341"/>
      <c r="V38" s="341"/>
      <c r="W38" s="341"/>
      <c r="X38" s="341"/>
      <c r="Y38" s="341"/>
      <c r="Z38" s="342"/>
    </row>
    <row r="39" spans="2:59" x14ac:dyDescent="0.2">
      <c r="B39" s="190" t="s">
        <v>279</v>
      </c>
      <c r="C39" s="191" t="s">
        <v>332</v>
      </c>
      <c r="D39" s="191" t="s">
        <v>333</v>
      </c>
      <c r="E39" s="191" t="s">
        <v>334</v>
      </c>
      <c r="F39" s="191" t="s">
        <v>335</v>
      </c>
      <c r="G39" s="191" t="s">
        <v>336</v>
      </c>
      <c r="H39" s="191" t="s">
        <v>337</v>
      </c>
      <c r="I39" s="191" t="s">
        <v>338</v>
      </c>
      <c r="J39" s="191" t="s">
        <v>339</v>
      </c>
      <c r="K39" s="191" t="s">
        <v>340</v>
      </c>
      <c r="L39" s="191" t="s">
        <v>341</v>
      </c>
      <c r="M39" s="191" t="s">
        <v>342</v>
      </c>
      <c r="N39" s="192" t="s">
        <v>343</v>
      </c>
      <c r="O39" s="191" t="s">
        <v>332</v>
      </c>
      <c r="P39" s="191" t="s">
        <v>333</v>
      </c>
      <c r="Q39" s="191" t="s">
        <v>334</v>
      </c>
      <c r="R39" s="191" t="s">
        <v>335</v>
      </c>
      <c r="S39" s="191" t="s">
        <v>344</v>
      </c>
      <c r="T39" s="191" t="s">
        <v>345</v>
      </c>
      <c r="U39" s="191" t="s">
        <v>346</v>
      </c>
      <c r="V39" s="191" t="s">
        <v>347</v>
      </c>
      <c r="W39" s="191" t="s">
        <v>348</v>
      </c>
      <c r="X39" s="191" t="s">
        <v>349</v>
      </c>
      <c r="Y39" s="191" t="s">
        <v>350</v>
      </c>
      <c r="Z39" s="192" t="s">
        <v>351</v>
      </c>
      <c r="AB39" s="150" t="s">
        <v>279</v>
      </c>
      <c r="AC39" s="151" t="s">
        <v>352</v>
      </c>
      <c r="AD39" s="151" t="s">
        <v>297</v>
      </c>
      <c r="AE39" s="151" t="s">
        <v>353</v>
      </c>
      <c r="AF39" s="151" t="s">
        <v>354</v>
      </c>
      <c r="AG39" s="152">
        <v>2025</v>
      </c>
      <c r="AI39" s="150" t="s">
        <v>279</v>
      </c>
      <c r="AJ39" s="151" t="s">
        <v>352</v>
      </c>
      <c r="AK39" s="151" t="s">
        <v>297</v>
      </c>
      <c r="AL39" s="151" t="s">
        <v>353</v>
      </c>
      <c r="AM39" s="151" t="s">
        <v>354</v>
      </c>
      <c r="AN39" s="152">
        <v>2026</v>
      </c>
      <c r="AQ39" s="150" t="s">
        <v>279</v>
      </c>
      <c r="AR39" s="151" t="s">
        <v>81</v>
      </c>
      <c r="AS39" s="151" t="s">
        <v>280</v>
      </c>
      <c r="AT39" s="151" t="s">
        <v>83</v>
      </c>
      <c r="AU39" s="151" t="s">
        <v>179</v>
      </c>
      <c r="AV39" s="151" t="s">
        <v>355</v>
      </c>
      <c r="AW39" s="151" t="s">
        <v>356</v>
      </c>
      <c r="AX39" s="151" t="s">
        <v>180</v>
      </c>
      <c r="AY39" s="151" t="s">
        <v>357</v>
      </c>
      <c r="AZ39" s="151" t="s">
        <v>358</v>
      </c>
      <c r="BA39" s="151" t="s">
        <v>359</v>
      </c>
      <c r="BB39" s="151" t="s">
        <v>360</v>
      </c>
      <c r="BC39" s="152" t="s">
        <v>361</v>
      </c>
      <c r="BE39" s="193">
        <v>2025</v>
      </c>
      <c r="BF39" s="151">
        <v>2026</v>
      </c>
      <c r="BG39" s="152">
        <v>2027</v>
      </c>
    </row>
    <row r="40" spans="2:59" ht="12" thickBot="1" x14ac:dyDescent="0.25">
      <c r="B40" s="169" t="s">
        <v>281</v>
      </c>
      <c r="C40" s="158">
        <f t="shared" ref="C40:N40" si="0">+SUM(C42:C46)</f>
        <v>127</v>
      </c>
      <c r="D40" s="158">
        <f t="shared" si="0"/>
        <v>283</v>
      </c>
      <c r="E40" s="158">
        <f t="shared" si="0"/>
        <v>498</v>
      </c>
      <c r="F40" s="158">
        <f t="shared" si="0"/>
        <v>692</v>
      </c>
      <c r="G40" s="158">
        <f t="shared" si="0"/>
        <v>1759</v>
      </c>
      <c r="H40" s="158">
        <f t="shared" si="0"/>
        <v>1845</v>
      </c>
      <c r="I40" s="158">
        <f t="shared" si="0"/>
        <v>1740</v>
      </c>
      <c r="J40" s="158">
        <f t="shared" si="0"/>
        <v>2359</v>
      </c>
      <c r="K40" s="158">
        <f t="shared" si="0"/>
        <v>4165</v>
      </c>
      <c r="L40" s="158">
        <f t="shared" si="0"/>
        <v>4175</v>
      </c>
      <c r="M40" s="158">
        <f t="shared" si="0"/>
        <v>5390</v>
      </c>
      <c r="N40" s="159">
        <f t="shared" si="0"/>
        <v>5885</v>
      </c>
      <c r="O40" s="158">
        <f t="shared" ref="O40:Z40" si="1">+SUM(O42:O46)</f>
        <v>5945</v>
      </c>
      <c r="P40" s="158">
        <f t="shared" si="1"/>
        <v>6330</v>
      </c>
      <c r="Q40" s="158">
        <f t="shared" si="1"/>
        <v>8500</v>
      </c>
      <c r="R40" s="158">
        <f t="shared" si="1"/>
        <v>8275</v>
      </c>
      <c r="S40" s="158">
        <f t="shared" si="1"/>
        <v>8250</v>
      </c>
      <c r="T40" s="158">
        <f t="shared" si="1"/>
        <v>8400</v>
      </c>
      <c r="U40" s="158">
        <f t="shared" si="1"/>
        <v>7100</v>
      </c>
      <c r="V40" s="158">
        <f t="shared" si="1"/>
        <v>6300</v>
      </c>
      <c r="W40" s="158">
        <f t="shared" si="1"/>
        <v>5000</v>
      </c>
      <c r="X40" s="158">
        <f t="shared" si="1"/>
        <v>4300</v>
      </c>
      <c r="Y40" s="158">
        <f t="shared" si="1"/>
        <v>4500</v>
      </c>
      <c r="Z40" s="159">
        <f t="shared" si="1"/>
        <v>4475</v>
      </c>
      <c r="AB40" s="169" t="s">
        <v>281</v>
      </c>
      <c r="AC40" s="158">
        <f>+SUM(AC42:AC46)</f>
        <v>908</v>
      </c>
      <c r="AD40" s="158">
        <f>+SUM(AD42:AD46)</f>
        <v>4296</v>
      </c>
      <c r="AE40" s="158">
        <f>+SUM(AE42:AE46)</f>
        <v>8264</v>
      </c>
      <c r="AF40" s="158">
        <f>+SUM(AF42:AF46)</f>
        <v>15450</v>
      </c>
      <c r="AG40" s="194">
        <f>+SUM(AG42:AG46)</f>
        <v>28918</v>
      </c>
      <c r="AI40" s="169" t="s">
        <v>281</v>
      </c>
      <c r="AJ40" s="158">
        <f>+SUM(AJ42:AJ46)</f>
        <v>20775</v>
      </c>
      <c r="AK40" s="158">
        <f>+SUM(AK42:AK46)</f>
        <v>24925</v>
      </c>
      <c r="AL40" s="158">
        <f>+SUM(AL42:AL46)</f>
        <v>18400</v>
      </c>
      <c r="AM40" s="158">
        <f>+SUM(AM42:AM46)</f>
        <v>13275</v>
      </c>
      <c r="AN40" s="194">
        <f>+SUM(AN42:AN46)</f>
        <v>77375</v>
      </c>
      <c r="AQ40" s="153" t="s">
        <v>275</v>
      </c>
      <c r="AR40" s="154">
        <f>+AC40</f>
        <v>908</v>
      </c>
      <c r="AS40" s="154">
        <f>+AD40</f>
        <v>4296</v>
      </c>
      <c r="AT40" s="154">
        <f>+AE40</f>
        <v>8264</v>
      </c>
      <c r="AU40" s="195">
        <v>10750</v>
      </c>
      <c r="AV40" s="154">
        <f>+D14*1000-SUM(AR40:AU40)</f>
        <v>1115.3333333333321</v>
      </c>
      <c r="AW40" s="154">
        <v>0</v>
      </c>
      <c r="AX40" s="154">
        <v>0</v>
      </c>
      <c r="AY40" s="154">
        <v>0</v>
      </c>
      <c r="AZ40" s="154">
        <v>0</v>
      </c>
      <c r="BA40" s="154">
        <v>0</v>
      </c>
      <c r="BB40" s="154">
        <v>0</v>
      </c>
      <c r="BC40" s="155">
        <v>0</v>
      </c>
      <c r="BE40" s="196">
        <f>+SUM(AR40:AU40)</f>
        <v>24218</v>
      </c>
      <c r="BF40" s="154">
        <f>+SUM(AV40:AY40)</f>
        <v>1115.3333333333321</v>
      </c>
      <c r="BG40" s="155">
        <f>+SUM(AZ40:BC40)</f>
        <v>0</v>
      </c>
    </row>
    <row r="41" spans="2:59" x14ac:dyDescent="0.2">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Q41" s="153" t="s">
        <v>283</v>
      </c>
      <c r="AR41" s="154">
        <v>0</v>
      </c>
      <c r="AS41" s="154">
        <v>0</v>
      </c>
      <c r="AT41" s="154">
        <v>0</v>
      </c>
      <c r="AU41" s="154">
        <f>+AG40-SUM(AR41:AT41)-SUM(AR40:AU40)</f>
        <v>4700</v>
      </c>
      <c r="AV41" s="195">
        <f>+AJ40-AV40</f>
        <v>19659.666666666668</v>
      </c>
      <c r="AW41" s="195">
        <f>+AK40-AW40</f>
        <v>24925</v>
      </c>
      <c r="AX41" s="195">
        <f>+AL40-AX40</f>
        <v>18400</v>
      </c>
      <c r="AY41" s="195">
        <f>+AM40-AY42</f>
        <v>10275</v>
      </c>
      <c r="AZ41" s="154">
        <f>+E25*1000-SUM(AV41:AY41)</f>
        <v>7197.277777777781</v>
      </c>
      <c r="BA41" s="154">
        <v>0</v>
      </c>
      <c r="BB41" s="154">
        <v>0</v>
      </c>
      <c r="BC41" s="155">
        <v>0</v>
      </c>
      <c r="BE41" s="196">
        <f>+SUM(AR41:AU41)</f>
        <v>4700</v>
      </c>
      <c r="BF41" s="154">
        <f>+SUM(AV41:AY41)</f>
        <v>73259.666666666672</v>
      </c>
      <c r="BG41" s="155">
        <f>+SUM(AZ41:BC41)</f>
        <v>7197.277777777781</v>
      </c>
    </row>
    <row r="42" spans="2:59" ht="15" x14ac:dyDescent="0.25">
      <c r="B42" s="53" t="s">
        <v>362</v>
      </c>
      <c r="C42" s="219">
        <v>30</v>
      </c>
      <c r="D42" s="219">
        <v>150</v>
      </c>
      <c r="E42" s="219">
        <v>320</v>
      </c>
      <c r="F42" s="219">
        <v>400</v>
      </c>
      <c r="G42" s="219">
        <v>500</v>
      </c>
      <c r="H42" s="219">
        <v>700</v>
      </c>
      <c r="I42" s="219">
        <v>700</v>
      </c>
      <c r="J42" s="219">
        <v>1500</v>
      </c>
      <c r="K42" s="219">
        <v>2600</v>
      </c>
      <c r="L42" s="219">
        <v>2500</v>
      </c>
      <c r="M42" s="219">
        <v>2500</v>
      </c>
      <c r="N42" s="219">
        <v>2800</v>
      </c>
      <c r="O42" s="219">
        <v>2400</v>
      </c>
      <c r="P42" s="219">
        <v>2400</v>
      </c>
      <c r="Q42" s="219">
        <v>3700</v>
      </c>
      <c r="R42" s="219">
        <v>3700</v>
      </c>
      <c r="S42" s="195">
        <v>3200</v>
      </c>
      <c r="T42" s="195">
        <v>3100</v>
      </c>
      <c r="U42" s="195">
        <v>3000</v>
      </c>
      <c r="V42" s="195">
        <v>2500</v>
      </c>
      <c r="W42" s="195">
        <v>2000</v>
      </c>
      <c r="X42" s="195">
        <v>1700</v>
      </c>
      <c r="Y42" s="195">
        <v>2000</v>
      </c>
      <c r="Z42" s="195">
        <v>2000</v>
      </c>
      <c r="AB42" s="53" t="s">
        <v>362</v>
      </c>
      <c r="AC42" s="154">
        <f>SUM(C42:E42)</f>
        <v>500</v>
      </c>
      <c r="AD42" s="154">
        <f>SUM(F42:H42)</f>
        <v>1600</v>
      </c>
      <c r="AE42" s="154">
        <f>SUM(I42:K42)</f>
        <v>4800</v>
      </c>
      <c r="AF42" s="154">
        <f>SUM(L42:N42)</f>
        <v>7800</v>
      </c>
      <c r="AG42" s="198">
        <f>+SUM(AC42:AF42)</f>
        <v>14700</v>
      </c>
      <c r="AH42" s="63">
        <f>+AG42/$AG$40</f>
        <v>0.50833390967563452</v>
      </c>
      <c r="AI42" s="53" t="s">
        <v>362</v>
      </c>
      <c r="AJ42" s="154">
        <f>SUM(O42:Q42)</f>
        <v>8500</v>
      </c>
      <c r="AK42" s="154">
        <f>SUM(R42:T42)</f>
        <v>10000</v>
      </c>
      <c r="AL42" s="154">
        <f>SUM(U42:W42)</f>
        <v>7500</v>
      </c>
      <c r="AM42" s="154">
        <f>SUM(X42:Z42)</f>
        <v>5700</v>
      </c>
      <c r="AN42" s="198">
        <f>+SUM(AJ42:AM42)</f>
        <v>31700</v>
      </c>
      <c r="AO42" s="63">
        <f>+AN42/$AN$40</f>
        <v>0.40969305331179323</v>
      </c>
      <c r="AQ42" s="153" t="s">
        <v>363</v>
      </c>
      <c r="AR42" s="154">
        <v>0</v>
      </c>
      <c r="AS42" s="154">
        <v>0</v>
      </c>
      <c r="AT42" s="154">
        <v>0</v>
      </c>
      <c r="AU42" s="154">
        <v>0</v>
      </c>
      <c r="AV42" s="154">
        <v>0</v>
      </c>
      <c r="AW42" s="154">
        <v>0</v>
      </c>
      <c r="AX42" s="154">
        <v>0</v>
      </c>
      <c r="AY42" s="195">
        <v>3000</v>
      </c>
      <c r="AZ42" s="195">
        <v>12500</v>
      </c>
      <c r="BA42" s="195">
        <v>23500</v>
      </c>
      <c r="BB42" s="195">
        <v>27500</v>
      </c>
      <c r="BC42" s="155">
        <f>+F36*1000-SUM(AZ42:BB42)</f>
        <v>25597.222222222219</v>
      </c>
      <c r="BE42" s="196">
        <f>+SUM(AR42:AU42)</f>
        <v>0</v>
      </c>
      <c r="BF42" s="154">
        <f>+SUM(AV42:AY42)</f>
        <v>3000</v>
      </c>
      <c r="BG42" s="155">
        <f>+SUM(AZ42:BC42)</f>
        <v>89097.222222222219</v>
      </c>
    </row>
    <row r="43" spans="2:59" ht="15" x14ac:dyDescent="0.25">
      <c r="B43" s="53" t="s">
        <v>220</v>
      </c>
      <c r="C43" s="219">
        <v>50</v>
      </c>
      <c r="D43" s="219">
        <v>50</v>
      </c>
      <c r="E43" s="219">
        <v>100</v>
      </c>
      <c r="F43" s="219">
        <v>125</v>
      </c>
      <c r="G43" s="219">
        <v>300</v>
      </c>
      <c r="H43" s="219">
        <v>375</v>
      </c>
      <c r="I43" s="219">
        <v>420</v>
      </c>
      <c r="J43" s="219">
        <v>459</v>
      </c>
      <c r="K43" s="219">
        <v>675</v>
      </c>
      <c r="L43" s="219">
        <v>870</v>
      </c>
      <c r="M43" s="219">
        <v>1050</v>
      </c>
      <c r="N43" s="219">
        <v>1650</v>
      </c>
      <c r="O43" s="219">
        <v>1425</v>
      </c>
      <c r="P43" s="219">
        <v>1350</v>
      </c>
      <c r="Q43" s="219">
        <v>2150</v>
      </c>
      <c r="R43" s="219">
        <v>2100</v>
      </c>
      <c r="S43" s="195">
        <v>2500</v>
      </c>
      <c r="T43" s="195">
        <v>2700</v>
      </c>
      <c r="U43" s="195">
        <v>1900</v>
      </c>
      <c r="V43" s="195">
        <v>1800</v>
      </c>
      <c r="W43" s="195">
        <v>1200</v>
      </c>
      <c r="X43" s="195">
        <v>600</v>
      </c>
      <c r="Y43" s="195">
        <v>500</v>
      </c>
      <c r="Z43" s="195">
        <v>475</v>
      </c>
      <c r="AB43" s="53" t="s">
        <v>220</v>
      </c>
      <c r="AC43" s="154">
        <f>SUM(C43:E43)</f>
        <v>200</v>
      </c>
      <c r="AD43" s="154">
        <f>SUM(F43:H43)</f>
        <v>800</v>
      </c>
      <c r="AE43" s="154">
        <f>SUM(I43:K43)</f>
        <v>1554</v>
      </c>
      <c r="AF43" s="154">
        <f>SUM(L43:N43)</f>
        <v>3570</v>
      </c>
      <c r="AG43" s="198">
        <f>+SUM(AC43:AF43)</f>
        <v>6124</v>
      </c>
      <c r="AH43" s="63">
        <f>+AG43/$AG$40</f>
        <v>0.21177121516010788</v>
      </c>
      <c r="AI43" s="53" t="s">
        <v>220</v>
      </c>
      <c r="AJ43" s="154">
        <f>SUM(O43:Q43)</f>
        <v>4925</v>
      </c>
      <c r="AK43" s="154">
        <f>SUM(R43:T43)</f>
        <v>7300</v>
      </c>
      <c r="AL43" s="154">
        <f>SUM(U43:W43)</f>
        <v>4900</v>
      </c>
      <c r="AM43" s="154">
        <f>SUM(X43:Z43)</f>
        <v>1575</v>
      </c>
      <c r="AN43" s="198">
        <f>+SUM(AJ43:AM43)</f>
        <v>18700</v>
      </c>
      <c r="AO43" s="63">
        <f>+AN43/$AN$40</f>
        <v>0.24168012924071083</v>
      </c>
      <c r="AQ43" s="153" t="s">
        <v>26</v>
      </c>
      <c r="AR43" s="154">
        <v>0</v>
      </c>
      <c r="AS43" s="154">
        <v>0</v>
      </c>
      <c r="AT43" s="154">
        <v>0</v>
      </c>
      <c r="AU43" s="154">
        <v>0</v>
      </c>
      <c r="AV43" s="154">
        <v>0</v>
      </c>
      <c r="AW43" s="154">
        <v>0</v>
      </c>
      <c r="AX43" s="154">
        <v>0</v>
      </c>
      <c r="AY43" s="154">
        <v>0</v>
      </c>
      <c r="AZ43" s="154">
        <v>0</v>
      </c>
      <c r="BA43" s="154">
        <v>0</v>
      </c>
      <c r="BB43" s="154">
        <v>0</v>
      </c>
      <c r="BC43" s="199">
        <v>3000</v>
      </c>
      <c r="BE43" s="196">
        <f>+SUM(AR43:AU43)</f>
        <v>0</v>
      </c>
      <c r="BF43" s="154">
        <f>+SUM(AV43:AY43)</f>
        <v>0</v>
      </c>
      <c r="BG43" s="155">
        <f>+SUM(AZ43:BC43)</f>
        <v>3000</v>
      </c>
    </row>
    <row r="44" spans="2:59" ht="15.75" thickBot="1" x14ac:dyDescent="0.3">
      <c r="B44" s="53" t="s">
        <v>253</v>
      </c>
      <c r="C44" s="219">
        <v>45</v>
      </c>
      <c r="D44" s="219">
        <v>80</v>
      </c>
      <c r="E44" s="219">
        <v>75</v>
      </c>
      <c r="F44" s="219">
        <v>160</v>
      </c>
      <c r="G44" s="219">
        <v>950</v>
      </c>
      <c r="H44" s="219">
        <v>750</v>
      </c>
      <c r="I44" s="219">
        <v>500</v>
      </c>
      <c r="J44" s="219">
        <v>150</v>
      </c>
      <c r="K44" s="219">
        <v>590</v>
      </c>
      <c r="L44" s="219">
        <v>325</v>
      </c>
      <c r="M44" s="219">
        <v>1250</v>
      </c>
      <c r="N44" s="219">
        <v>850</v>
      </c>
      <c r="O44" s="219">
        <v>950</v>
      </c>
      <c r="P44" s="219">
        <v>1450</v>
      </c>
      <c r="Q44" s="219">
        <v>1550</v>
      </c>
      <c r="R44" s="219">
        <v>1325</v>
      </c>
      <c r="S44" s="195">
        <v>1400</v>
      </c>
      <c r="T44" s="195">
        <v>1450</v>
      </c>
      <c r="U44" s="195">
        <v>1200</v>
      </c>
      <c r="V44" s="195">
        <v>1000</v>
      </c>
      <c r="W44" s="195">
        <v>800</v>
      </c>
      <c r="X44" s="195">
        <v>1000</v>
      </c>
      <c r="Y44" s="195">
        <v>1000</v>
      </c>
      <c r="Z44" s="195">
        <v>1000</v>
      </c>
      <c r="AB44" s="53" t="s">
        <v>253</v>
      </c>
      <c r="AC44" s="154">
        <f>SUM(C44:E44)</f>
        <v>200</v>
      </c>
      <c r="AD44" s="154">
        <f>SUM(F44:H44)</f>
        <v>1860</v>
      </c>
      <c r="AE44" s="154">
        <f>SUM(I44:K44)</f>
        <v>1240</v>
      </c>
      <c r="AF44" s="154">
        <f>SUM(L44:N44)</f>
        <v>2425</v>
      </c>
      <c r="AG44" s="198">
        <f>+SUM(AC44:AF44)</f>
        <v>5725</v>
      </c>
      <c r="AH44" s="63">
        <f>+AG44/$AG$40</f>
        <v>0.19797358046891209</v>
      </c>
      <c r="AI44" s="53" t="s">
        <v>253</v>
      </c>
      <c r="AJ44" s="154">
        <f>SUM(O44:Q44)</f>
        <v>3950</v>
      </c>
      <c r="AK44" s="154">
        <f>SUM(R44:T44)</f>
        <v>4175</v>
      </c>
      <c r="AL44" s="154">
        <f>SUM(U44:W44)</f>
        <v>3000</v>
      </c>
      <c r="AM44" s="154">
        <f>SUM(X44:Z44)</f>
        <v>3000</v>
      </c>
      <c r="AN44" s="198">
        <f>+SUM(AJ44:AM44)</f>
        <v>14125</v>
      </c>
      <c r="AO44" s="63">
        <f>+AN44/$AN$40</f>
        <v>0.18255250403877221</v>
      </c>
      <c r="AQ44" s="200" t="s">
        <v>204</v>
      </c>
      <c r="AR44" s="201">
        <f>SUM(AR40:AR43)</f>
        <v>908</v>
      </c>
      <c r="AS44" s="201">
        <f t="shared" ref="AS44:BC44" si="2">SUM(AS40:AS43)</f>
        <v>4296</v>
      </c>
      <c r="AT44" s="201">
        <f t="shared" si="2"/>
        <v>8264</v>
      </c>
      <c r="AU44" s="201">
        <f t="shared" si="2"/>
        <v>15450</v>
      </c>
      <c r="AV44" s="201">
        <f t="shared" si="2"/>
        <v>20775</v>
      </c>
      <c r="AW44" s="201">
        <f t="shared" si="2"/>
        <v>24925</v>
      </c>
      <c r="AX44" s="201">
        <f t="shared" si="2"/>
        <v>18400</v>
      </c>
      <c r="AY44" s="201">
        <f t="shared" si="2"/>
        <v>13275</v>
      </c>
      <c r="AZ44" s="201">
        <f t="shared" si="2"/>
        <v>19697.277777777781</v>
      </c>
      <c r="BA44" s="201">
        <f t="shared" si="2"/>
        <v>23500</v>
      </c>
      <c r="BB44" s="201">
        <f t="shared" si="2"/>
        <v>27500</v>
      </c>
      <c r="BC44" s="194">
        <f t="shared" si="2"/>
        <v>28597.222222222219</v>
      </c>
      <c r="BE44" s="202">
        <f>+SUM(AR44:AU44)</f>
        <v>28918</v>
      </c>
      <c r="BF44" s="201">
        <f>+SUM(AV44:AY44)</f>
        <v>77375</v>
      </c>
      <c r="BG44" s="194">
        <f>+SUM(AZ44:BC44)</f>
        <v>99294.5</v>
      </c>
    </row>
    <row r="45" spans="2:59" ht="15" x14ac:dyDescent="0.25">
      <c r="B45" s="53" t="s">
        <v>222</v>
      </c>
      <c r="C45" s="219">
        <v>1</v>
      </c>
      <c r="D45" s="219">
        <v>2</v>
      </c>
      <c r="E45" s="219">
        <v>2</v>
      </c>
      <c r="F45" s="219">
        <v>5</v>
      </c>
      <c r="G45" s="219">
        <v>5</v>
      </c>
      <c r="H45" s="219">
        <v>10</v>
      </c>
      <c r="I45" s="219">
        <v>20</v>
      </c>
      <c r="J45" s="219">
        <v>50</v>
      </c>
      <c r="K45" s="219">
        <v>50</v>
      </c>
      <c r="L45" s="219">
        <v>130</v>
      </c>
      <c r="M45" s="219">
        <v>140</v>
      </c>
      <c r="N45" s="219">
        <v>160</v>
      </c>
      <c r="O45" s="219">
        <v>20</v>
      </c>
      <c r="P45" s="219">
        <v>30</v>
      </c>
      <c r="Q45" s="219">
        <v>0</v>
      </c>
      <c r="R45" s="219">
        <v>0</v>
      </c>
      <c r="S45" s="195">
        <v>0</v>
      </c>
      <c r="T45" s="195">
        <v>0</v>
      </c>
      <c r="U45" s="195">
        <v>0</v>
      </c>
      <c r="V45" s="195">
        <v>0</v>
      </c>
      <c r="W45" s="195">
        <v>0</v>
      </c>
      <c r="X45" s="195">
        <v>0</v>
      </c>
      <c r="Y45" s="195">
        <v>0</v>
      </c>
      <c r="Z45" s="195">
        <v>0</v>
      </c>
      <c r="AB45" s="53" t="s">
        <v>222</v>
      </c>
      <c r="AC45" s="154">
        <f>SUM(C45:E45)</f>
        <v>5</v>
      </c>
      <c r="AD45" s="154">
        <f>SUM(F45:H45)</f>
        <v>20</v>
      </c>
      <c r="AE45" s="154">
        <f>SUM(I45:K45)</f>
        <v>120</v>
      </c>
      <c r="AF45" s="154">
        <f>SUM(L45:N45)</f>
        <v>430</v>
      </c>
      <c r="AG45" s="198">
        <f>+SUM(AC45:AF45)</f>
        <v>575</v>
      </c>
      <c r="AH45" s="63">
        <f>+AG45/$AG$40</f>
        <v>1.9883809392074139E-2</v>
      </c>
      <c r="AI45" s="53" t="s">
        <v>222</v>
      </c>
      <c r="AJ45" s="154">
        <f>SUM(O45:Q45)</f>
        <v>50</v>
      </c>
      <c r="AK45" s="154">
        <f>SUM(R45:T45)</f>
        <v>0</v>
      </c>
      <c r="AL45" s="154">
        <f>SUM(U45:W45)</f>
        <v>0</v>
      </c>
      <c r="AM45" s="154">
        <f>SUM(X45:Z45)</f>
        <v>0</v>
      </c>
      <c r="AN45" s="198">
        <f>+SUM(AJ45:AM45)</f>
        <v>50</v>
      </c>
      <c r="AO45" s="63">
        <f>+AN45/$AN$40</f>
        <v>6.462035541195477E-4</v>
      </c>
    </row>
    <row r="46" spans="2:59" ht="15" x14ac:dyDescent="0.25">
      <c r="B46" s="53" t="s">
        <v>189</v>
      </c>
      <c r="C46" s="219">
        <v>1</v>
      </c>
      <c r="D46" s="219">
        <v>1</v>
      </c>
      <c r="E46" s="219">
        <v>1</v>
      </c>
      <c r="F46" s="219">
        <v>2</v>
      </c>
      <c r="G46" s="219">
        <v>4</v>
      </c>
      <c r="H46" s="219">
        <v>10</v>
      </c>
      <c r="I46" s="219">
        <v>100</v>
      </c>
      <c r="J46" s="219">
        <v>200</v>
      </c>
      <c r="K46" s="219">
        <v>250</v>
      </c>
      <c r="L46" s="219">
        <v>350</v>
      </c>
      <c r="M46" s="219">
        <v>450</v>
      </c>
      <c r="N46" s="219">
        <v>425</v>
      </c>
      <c r="O46" s="219">
        <v>1150</v>
      </c>
      <c r="P46" s="219">
        <v>1100</v>
      </c>
      <c r="Q46" s="219">
        <v>1100</v>
      </c>
      <c r="R46" s="219">
        <v>1150</v>
      </c>
      <c r="S46" s="195">
        <v>1150</v>
      </c>
      <c r="T46" s="195">
        <v>1150</v>
      </c>
      <c r="U46" s="195">
        <v>1000</v>
      </c>
      <c r="V46" s="195">
        <v>1000</v>
      </c>
      <c r="W46" s="195">
        <v>1000</v>
      </c>
      <c r="X46" s="195">
        <v>1000</v>
      </c>
      <c r="Y46" s="195">
        <v>1000</v>
      </c>
      <c r="Z46" s="195">
        <v>1000</v>
      </c>
      <c r="AB46" s="53" t="s">
        <v>189</v>
      </c>
      <c r="AC46" s="154">
        <f>SUM(C46:E46)</f>
        <v>3</v>
      </c>
      <c r="AD46" s="154">
        <f>SUM(F46:H46)</f>
        <v>16</v>
      </c>
      <c r="AE46" s="154">
        <f>SUM(I46:K46)</f>
        <v>550</v>
      </c>
      <c r="AF46" s="154">
        <f>SUM(L46:N46)</f>
        <v>1225</v>
      </c>
      <c r="AG46" s="198">
        <f>+SUM(AC46:AF46)</f>
        <v>1794</v>
      </c>
      <c r="AH46" s="63">
        <f>+AG46/$AG$40</f>
        <v>6.2037485303271321E-2</v>
      </c>
      <c r="AI46" s="53" t="s">
        <v>189</v>
      </c>
      <c r="AJ46" s="154">
        <f>SUM(O46:Q46)</f>
        <v>3350</v>
      </c>
      <c r="AK46" s="154">
        <f>SUM(R46:T46)</f>
        <v>3450</v>
      </c>
      <c r="AL46" s="154">
        <f>SUM(U46:W46)</f>
        <v>3000</v>
      </c>
      <c r="AM46" s="154">
        <f>SUM(X46:Z46)</f>
        <v>3000</v>
      </c>
      <c r="AN46" s="198">
        <f>+SUM(AJ46:AM46)</f>
        <v>12800</v>
      </c>
      <c r="AO46" s="63">
        <f>+AN46/$AN$40</f>
        <v>0.16542810985460421</v>
      </c>
      <c r="AQ46" s="54" t="s">
        <v>194</v>
      </c>
    </row>
    <row r="47" spans="2:59" ht="15" x14ac:dyDescent="0.25">
      <c r="AQ47" s="53" t="str">
        <f>+AQ40</f>
        <v>GB200</v>
      </c>
      <c r="AR47" s="63">
        <f t="shared" ref="AR47:BC50" si="3">+AR40/AR$44</f>
        <v>1</v>
      </c>
      <c r="AS47" s="63">
        <f t="shared" si="3"/>
        <v>1</v>
      </c>
      <c r="AT47" s="63">
        <f t="shared" si="3"/>
        <v>1</v>
      </c>
      <c r="AU47" s="63">
        <f t="shared" si="3"/>
        <v>0.69579288025889963</v>
      </c>
      <c r="AV47" s="63">
        <f t="shared" si="3"/>
        <v>5.3686321700762075E-2</v>
      </c>
      <c r="AW47" s="63">
        <f t="shared" si="3"/>
        <v>0</v>
      </c>
      <c r="AX47" s="63">
        <f t="shared" si="3"/>
        <v>0</v>
      </c>
      <c r="AY47" s="63">
        <f t="shared" si="3"/>
        <v>0</v>
      </c>
      <c r="AZ47" s="63">
        <f t="shared" si="3"/>
        <v>0</v>
      </c>
      <c r="BA47" s="63">
        <f t="shared" si="3"/>
        <v>0</v>
      </c>
      <c r="BB47" s="63">
        <f t="shared" si="3"/>
        <v>0</v>
      </c>
      <c r="BC47" s="63">
        <f t="shared" si="3"/>
        <v>0</v>
      </c>
      <c r="BE47" s="63">
        <f t="shared" ref="BE47:BG50" si="4">+BE40/BE$44</f>
        <v>0.83747147105608966</v>
      </c>
      <c r="BF47" s="63">
        <f t="shared" si="4"/>
        <v>1.4414647280560028E-2</v>
      </c>
      <c r="BG47" s="63">
        <f t="shared" si="4"/>
        <v>0</v>
      </c>
    </row>
    <row r="48" spans="2:59" ht="15" x14ac:dyDescent="0.25">
      <c r="B48" s="203" t="s">
        <v>364</v>
      </c>
      <c r="C48" s="204">
        <f>+C40/1000</f>
        <v>0.127</v>
      </c>
      <c r="D48" s="204">
        <f t="shared" ref="D48:N48" si="5">+D40/1000</f>
        <v>0.28299999999999997</v>
      </c>
      <c r="E48" s="204">
        <f t="shared" si="5"/>
        <v>0.498</v>
      </c>
      <c r="F48" s="204">
        <f t="shared" si="5"/>
        <v>0.69199999999999995</v>
      </c>
      <c r="G48" s="204">
        <f t="shared" si="5"/>
        <v>1.7589999999999999</v>
      </c>
      <c r="H48" s="204">
        <f t="shared" si="5"/>
        <v>1.845</v>
      </c>
      <c r="I48" s="204">
        <f t="shared" si="5"/>
        <v>1.74</v>
      </c>
      <c r="J48" s="204">
        <f t="shared" si="5"/>
        <v>2.359</v>
      </c>
      <c r="K48" s="204">
        <f t="shared" si="5"/>
        <v>4.165</v>
      </c>
      <c r="L48" s="204">
        <f t="shared" si="5"/>
        <v>4.1749999999999998</v>
      </c>
      <c r="M48" s="204">
        <f t="shared" si="5"/>
        <v>5.39</v>
      </c>
      <c r="N48" s="204">
        <f t="shared" si="5"/>
        <v>5.8849999999999998</v>
      </c>
      <c r="O48" s="204">
        <f>+O40/1000</f>
        <v>5.9450000000000003</v>
      </c>
      <c r="P48" s="204">
        <f t="shared" ref="P48:Z48" si="6">+P40/1000</f>
        <v>6.33</v>
      </c>
      <c r="Q48" s="204">
        <f t="shared" si="6"/>
        <v>8.5</v>
      </c>
      <c r="R48" s="204">
        <f t="shared" si="6"/>
        <v>8.2750000000000004</v>
      </c>
      <c r="S48" s="204">
        <f t="shared" si="6"/>
        <v>8.25</v>
      </c>
      <c r="T48" s="204">
        <f t="shared" si="6"/>
        <v>8.4</v>
      </c>
      <c r="U48" s="204">
        <f t="shared" si="6"/>
        <v>7.1</v>
      </c>
      <c r="V48" s="204">
        <f t="shared" si="6"/>
        <v>6.3</v>
      </c>
      <c r="W48" s="204">
        <f t="shared" si="6"/>
        <v>5</v>
      </c>
      <c r="X48" s="204">
        <f t="shared" si="6"/>
        <v>4.3</v>
      </c>
      <c r="Y48" s="204">
        <f t="shared" si="6"/>
        <v>4.5</v>
      </c>
      <c r="Z48" s="204">
        <f t="shared" si="6"/>
        <v>4.4749999999999996</v>
      </c>
      <c r="AA48" s="205"/>
      <c r="AB48" s="203" t="s">
        <v>364</v>
      </c>
      <c r="AC48" s="204">
        <f>+AC40/1000</f>
        <v>0.90800000000000003</v>
      </c>
      <c r="AD48" s="204">
        <f>+AD40/1000</f>
        <v>4.2960000000000003</v>
      </c>
      <c r="AE48" s="204">
        <f>+AE40/1000</f>
        <v>8.2639999999999993</v>
      </c>
      <c r="AF48" s="204">
        <f>+AF40/1000</f>
        <v>15.45</v>
      </c>
      <c r="AG48" s="204">
        <f>+AG40/1000</f>
        <v>28.917999999999999</v>
      </c>
      <c r="AI48" s="203" t="s">
        <v>364</v>
      </c>
      <c r="AJ48" s="204">
        <f>+AJ40/1000</f>
        <v>20.774999999999999</v>
      </c>
      <c r="AK48" s="204">
        <f>+AK40/1000</f>
        <v>24.925000000000001</v>
      </c>
      <c r="AL48" s="204">
        <f>+AL40/1000</f>
        <v>18.399999999999999</v>
      </c>
      <c r="AM48" s="204">
        <f>+AM40/1000</f>
        <v>13.275</v>
      </c>
      <c r="AN48" s="204">
        <f>+AN40/1000</f>
        <v>77.375</v>
      </c>
      <c r="AQ48" s="53" t="str">
        <f>+AQ41</f>
        <v>GB300</v>
      </c>
      <c r="AR48" s="63">
        <f t="shared" si="3"/>
        <v>0</v>
      </c>
      <c r="AS48" s="63">
        <f t="shared" si="3"/>
        <v>0</v>
      </c>
      <c r="AT48" s="63">
        <f t="shared" si="3"/>
        <v>0</v>
      </c>
      <c r="AU48" s="63">
        <f t="shared" si="3"/>
        <v>0.30420711974110032</v>
      </c>
      <c r="AV48" s="63">
        <f t="shared" si="3"/>
        <v>0.94631367829923796</v>
      </c>
      <c r="AW48" s="63">
        <f t="shared" si="3"/>
        <v>1</v>
      </c>
      <c r="AX48" s="63">
        <f t="shared" si="3"/>
        <v>1</v>
      </c>
      <c r="AY48" s="63">
        <f t="shared" si="3"/>
        <v>0.77401129943502822</v>
      </c>
      <c r="AZ48" s="63">
        <f t="shared" si="3"/>
        <v>0.36539454126486748</v>
      </c>
      <c r="BA48" s="63">
        <f t="shared" si="3"/>
        <v>0</v>
      </c>
      <c r="BB48" s="63">
        <f t="shared" si="3"/>
        <v>0</v>
      </c>
      <c r="BC48" s="63">
        <f t="shared" si="3"/>
        <v>0</v>
      </c>
      <c r="BE48" s="63">
        <f t="shared" si="4"/>
        <v>0.16252852894391037</v>
      </c>
      <c r="BF48" s="63">
        <f t="shared" si="4"/>
        <v>0.9468131394722672</v>
      </c>
      <c r="BG48" s="63">
        <f t="shared" si="4"/>
        <v>7.2484153480583319E-2</v>
      </c>
    </row>
    <row r="49" spans="2:59" ht="15" x14ac:dyDescent="0.25">
      <c r="B49" s="123"/>
      <c r="AQ49" s="53" t="str">
        <f>+AQ42</f>
        <v>VR200</v>
      </c>
      <c r="AR49" s="63">
        <f t="shared" si="3"/>
        <v>0</v>
      </c>
      <c r="AS49" s="63">
        <f t="shared" si="3"/>
        <v>0</v>
      </c>
      <c r="AT49" s="63">
        <f t="shared" si="3"/>
        <v>0</v>
      </c>
      <c r="AU49" s="63">
        <f t="shared" si="3"/>
        <v>0</v>
      </c>
      <c r="AV49" s="63">
        <f t="shared" si="3"/>
        <v>0</v>
      </c>
      <c r="AW49" s="63">
        <f t="shared" si="3"/>
        <v>0</v>
      </c>
      <c r="AX49" s="63">
        <f t="shared" si="3"/>
        <v>0</v>
      </c>
      <c r="AY49" s="63">
        <f t="shared" si="3"/>
        <v>0.22598870056497175</v>
      </c>
      <c r="AZ49" s="63">
        <f t="shared" si="3"/>
        <v>0.63460545873513252</v>
      </c>
      <c r="BA49" s="63">
        <f t="shared" si="3"/>
        <v>1</v>
      </c>
      <c r="BB49" s="63">
        <f t="shared" si="3"/>
        <v>1</v>
      </c>
      <c r="BC49" s="63">
        <f t="shared" si="3"/>
        <v>0.89509470616804276</v>
      </c>
      <c r="BE49" s="63">
        <f t="shared" si="4"/>
        <v>0</v>
      </c>
      <c r="BF49" s="63">
        <f t="shared" si="4"/>
        <v>3.8772213247172858E-2</v>
      </c>
      <c r="BG49" s="63">
        <f t="shared" si="4"/>
        <v>0.89730269271935725</v>
      </c>
    </row>
    <row r="50" spans="2:59" ht="15" x14ac:dyDescent="0.25">
      <c r="B50" s="54" t="s">
        <v>194</v>
      </c>
      <c r="AB50" s="54" t="s">
        <v>194</v>
      </c>
      <c r="AI50" s="54" t="s">
        <v>194</v>
      </c>
      <c r="AQ50" s="53" t="str">
        <f>+AQ43</f>
        <v>VR300</v>
      </c>
      <c r="AR50" s="63">
        <f t="shared" si="3"/>
        <v>0</v>
      </c>
      <c r="AS50" s="63">
        <f t="shared" si="3"/>
        <v>0</v>
      </c>
      <c r="AT50" s="63">
        <f t="shared" si="3"/>
        <v>0</v>
      </c>
      <c r="AU50" s="63">
        <f t="shared" si="3"/>
        <v>0</v>
      </c>
      <c r="AV50" s="63">
        <f t="shared" si="3"/>
        <v>0</v>
      </c>
      <c r="AW50" s="63">
        <f t="shared" si="3"/>
        <v>0</v>
      </c>
      <c r="AX50" s="63">
        <f t="shared" si="3"/>
        <v>0</v>
      </c>
      <c r="AY50" s="63">
        <f t="shared" si="3"/>
        <v>0</v>
      </c>
      <c r="AZ50" s="63">
        <f t="shared" si="3"/>
        <v>0</v>
      </c>
      <c r="BA50" s="63">
        <f t="shared" si="3"/>
        <v>0</v>
      </c>
      <c r="BB50" s="63">
        <f t="shared" si="3"/>
        <v>0</v>
      </c>
      <c r="BC50" s="63">
        <f t="shared" si="3"/>
        <v>0.10490529383195728</v>
      </c>
      <c r="BE50" s="63">
        <f t="shared" si="4"/>
        <v>0</v>
      </c>
      <c r="BF50" s="63">
        <f t="shared" si="4"/>
        <v>0</v>
      </c>
      <c r="BG50" s="63">
        <f t="shared" si="4"/>
        <v>3.0213153800059418E-2</v>
      </c>
    </row>
    <row r="51" spans="2:59" ht="15" x14ac:dyDescent="0.25">
      <c r="B51" s="53" t="s">
        <v>362</v>
      </c>
      <c r="C51" s="63">
        <f t="shared" ref="C51:Z55" si="7">+C42/C$40</f>
        <v>0.23622047244094488</v>
      </c>
      <c r="D51" s="63">
        <f t="shared" si="7"/>
        <v>0.53003533568904593</v>
      </c>
      <c r="E51" s="63">
        <f t="shared" si="7"/>
        <v>0.64257028112449799</v>
      </c>
      <c r="F51" s="63">
        <f t="shared" si="7"/>
        <v>0.5780346820809249</v>
      </c>
      <c r="G51" s="63">
        <f t="shared" si="7"/>
        <v>0.28425241614553726</v>
      </c>
      <c r="H51" s="63">
        <f t="shared" si="7"/>
        <v>0.37940379403794039</v>
      </c>
      <c r="I51" s="63">
        <f t="shared" si="7"/>
        <v>0.40229885057471265</v>
      </c>
      <c r="J51" s="63">
        <f t="shared" si="7"/>
        <v>0.63586265366680794</v>
      </c>
      <c r="K51" s="63">
        <f t="shared" si="7"/>
        <v>0.62424969987995194</v>
      </c>
      <c r="L51" s="63">
        <f t="shared" si="7"/>
        <v>0.59880239520958078</v>
      </c>
      <c r="M51" s="63">
        <f t="shared" si="7"/>
        <v>0.46382189239332094</v>
      </c>
      <c r="N51" s="63">
        <f t="shared" si="7"/>
        <v>0.47578589634664403</v>
      </c>
      <c r="O51" s="63">
        <f t="shared" si="7"/>
        <v>0.40370058873002523</v>
      </c>
      <c r="P51" s="63">
        <f t="shared" si="7"/>
        <v>0.37914691943127959</v>
      </c>
      <c r="Q51" s="63">
        <f t="shared" si="7"/>
        <v>0.43529411764705883</v>
      </c>
      <c r="R51" s="63">
        <f t="shared" si="7"/>
        <v>0.44712990936555891</v>
      </c>
      <c r="S51" s="63">
        <f t="shared" si="7"/>
        <v>0.38787878787878788</v>
      </c>
      <c r="T51" s="63">
        <f t="shared" si="7"/>
        <v>0.36904761904761907</v>
      </c>
      <c r="U51" s="63">
        <f t="shared" si="7"/>
        <v>0.42253521126760563</v>
      </c>
      <c r="V51" s="63">
        <f t="shared" si="7"/>
        <v>0.3968253968253968</v>
      </c>
      <c r="W51" s="63">
        <f t="shared" si="7"/>
        <v>0.4</v>
      </c>
      <c r="X51" s="63">
        <f t="shared" si="7"/>
        <v>0.39534883720930231</v>
      </c>
      <c r="Y51" s="63">
        <f t="shared" si="7"/>
        <v>0.44444444444444442</v>
      </c>
      <c r="Z51" s="63">
        <f t="shared" si="7"/>
        <v>0.44692737430167595</v>
      </c>
      <c r="AB51" s="53" t="s">
        <v>362</v>
      </c>
      <c r="AC51" s="63">
        <f>+AC42/AC$40</f>
        <v>0.5506607929515418</v>
      </c>
      <c r="AD51" s="63">
        <f>+AD42/AD$40</f>
        <v>0.37243947858472998</v>
      </c>
      <c r="AE51" s="63">
        <f>+AE42/AE$40</f>
        <v>0.58083252662149076</v>
      </c>
      <c r="AF51" s="63">
        <f>+AF42/AF$40</f>
        <v>0.50485436893203883</v>
      </c>
      <c r="AI51" s="53" t="s">
        <v>362</v>
      </c>
      <c r="AJ51" s="63">
        <f t="shared" ref="AJ51:AM55" si="8">+AJ42/AJ$40</f>
        <v>0.40914560770156438</v>
      </c>
      <c r="AK51" s="63">
        <f t="shared" si="8"/>
        <v>0.4012036108324975</v>
      </c>
      <c r="AL51" s="63">
        <f t="shared" si="8"/>
        <v>0.40760869565217389</v>
      </c>
      <c r="AM51" s="63">
        <f t="shared" si="8"/>
        <v>0.42937853107344631</v>
      </c>
    </row>
    <row r="52" spans="2:59" ht="15" x14ac:dyDescent="0.25">
      <c r="B52" s="53" t="s">
        <v>220</v>
      </c>
      <c r="C52" s="63">
        <f t="shared" si="7"/>
        <v>0.39370078740157483</v>
      </c>
      <c r="D52" s="63">
        <f t="shared" si="7"/>
        <v>0.17667844522968199</v>
      </c>
      <c r="E52" s="63">
        <f t="shared" si="7"/>
        <v>0.20080321285140562</v>
      </c>
      <c r="F52" s="63">
        <f t="shared" si="7"/>
        <v>0.18063583815028902</v>
      </c>
      <c r="G52" s="63">
        <f t="shared" si="7"/>
        <v>0.17055144968732233</v>
      </c>
      <c r="H52" s="63">
        <f t="shared" si="7"/>
        <v>0.2032520325203252</v>
      </c>
      <c r="I52" s="63">
        <f t="shared" si="7"/>
        <v>0.2413793103448276</v>
      </c>
      <c r="J52" s="63">
        <f t="shared" si="7"/>
        <v>0.19457397202204324</v>
      </c>
      <c r="K52" s="63">
        <f t="shared" si="7"/>
        <v>0.16206482593037214</v>
      </c>
      <c r="L52" s="63">
        <f t="shared" si="7"/>
        <v>0.20838323353293414</v>
      </c>
      <c r="M52" s="63">
        <f t="shared" si="7"/>
        <v>0.19480519480519481</v>
      </c>
      <c r="N52" s="63">
        <f t="shared" si="7"/>
        <v>0.28037383177570091</v>
      </c>
      <c r="O52" s="63">
        <f t="shared" si="7"/>
        <v>0.23969722455845249</v>
      </c>
      <c r="P52" s="63">
        <f t="shared" si="7"/>
        <v>0.2132701421800948</v>
      </c>
      <c r="Q52" s="63">
        <f t="shared" si="7"/>
        <v>0.25294117647058822</v>
      </c>
      <c r="R52" s="63">
        <f t="shared" si="7"/>
        <v>0.25377643504531722</v>
      </c>
      <c r="S52" s="63">
        <f t="shared" si="7"/>
        <v>0.30303030303030304</v>
      </c>
      <c r="T52" s="63">
        <f t="shared" si="7"/>
        <v>0.32142857142857145</v>
      </c>
      <c r="U52" s="63">
        <f t="shared" si="7"/>
        <v>0.26760563380281688</v>
      </c>
      <c r="V52" s="63">
        <f t="shared" si="7"/>
        <v>0.2857142857142857</v>
      </c>
      <c r="W52" s="63">
        <f t="shared" si="7"/>
        <v>0.24</v>
      </c>
      <c r="X52" s="63">
        <f t="shared" si="7"/>
        <v>0.13953488372093023</v>
      </c>
      <c r="Y52" s="63">
        <f t="shared" si="7"/>
        <v>0.1111111111111111</v>
      </c>
      <c r="Z52" s="63">
        <f t="shared" si="7"/>
        <v>0.10614525139664804</v>
      </c>
      <c r="AB52" s="53" t="s">
        <v>220</v>
      </c>
      <c r="AC52" s="63">
        <f t="shared" ref="AC52:AF55" si="9">+AC43/AC$40</f>
        <v>0.22026431718061673</v>
      </c>
      <c r="AD52" s="63">
        <f t="shared" si="9"/>
        <v>0.18621973929236499</v>
      </c>
      <c r="AE52" s="63">
        <f t="shared" si="9"/>
        <v>0.18804453049370765</v>
      </c>
      <c r="AF52" s="63">
        <f t="shared" si="9"/>
        <v>0.23106796116504855</v>
      </c>
      <c r="AI52" s="53" t="s">
        <v>220</v>
      </c>
      <c r="AJ52" s="63">
        <f t="shared" si="8"/>
        <v>0.23706377858002406</v>
      </c>
      <c r="AK52" s="63">
        <f t="shared" si="8"/>
        <v>0.29287863590772317</v>
      </c>
      <c r="AL52" s="63">
        <f t="shared" si="8"/>
        <v>0.26630434782608697</v>
      </c>
      <c r="AM52" s="63">
        <f t="shared" si="8"/>
        <v>0.11864406779661017</v>
      </c>
    </row>
    <row r="53" spans="2:59" ht="15" x14ac:dyDescent="0.25">
      <c r="B53" s="53" t="s">
        <v>253</v>
      </c>
      <c r="C53" s="63">
        <f t="shared" si="7"/>
        <v>0.3543307086614173</v>
      </c>
      <c r="D53" s="63">
        <f t="shared" si="7"/>
        <v>0.28268551236749118</v>
      </c>
      <c r="E53" s="63">
        <f t="shared" si="7"/>
        <v>0.15060240963855423</v>
      </c>
      <c r="F53" s="63">
        <f t="shared" si="7"/>
        <v>0.23121387283236994</v>
      </c>
      <c r="G53" s="63">
        <f t="shared" si="7"/>
        <v>0.54007959067652078</v>
      </c>
      <c r="H53" s="63">
        <f t="shared" si="7"/>
        <v>0.4065040650406504</v>
      </c>
      <c r="I53" s="63">
        <f t="shared" si="7"/>
        <v>0.28735632183908044</v>
      </c>
      <c r="J53" s="63">
        <f t="shared" si="7"/>
        <v>6.35862653666808E-2</v>
      </c>
      <c r="K53" s="63">
        <f t="shared" si="7"/>
        <v>0.14165666266506602</v>
      </c>
      <c r="L53" s="63">
        <f t="shared" si="7"/>
        <v>7.7844311377245512E-2</v>
      </c>
      <c r="M53" s="63">
        <f t="shared" si="7"/>
        <v>0.23191094619666047</v>
      </c>
      <c r="N53" s="63">
        <f t="shared" si="7"/>
        <v>0.14443500424808836</v>
      </c>
      <c r="O53" s="63">
        <f t="shared" si="7"/>
        <v>0.159798149705635</v>
      </c>
      <c r="P53" s="63">
        <f t="shared" si="7"/>
        <v>0.22906793048973143</v>
      </c>
      <c r="Q53" s="63">
        <f t="shared" si="7"/>
        <v>0.18235294117647058</v>
      </c>
      <c r="R53" s="63">
        <f t="shared" si="7"/>
        <v>0.16012084592145015</v>
      </c>
      <c r="S53" s="63">
        <f t="shared" si="7"/>
        <v>0.16969696969696971</v>
      </c>
      <c r="T53" s="63">
        <f t="shared" si="7"/>
        <v>0.17261904761904762</v>
      </c>
      <c r="U53" s="63">
        <f t="shared" si="7"/>
        <v>0.16901408450704225</v>
      </c>
      <c r="V53" s="63">
        <f t="shared" si="7"/>
        <v>0.15873015873015872</v>
      </c>
      <c r="W53" s="63">
        <f t="shared" si="7"/>
        <v>0.16</v>
      </c>
      <c r="X53" s="63">
        <f t="shared" si="7"/>
        <v>0.23255813953488372</v>
      </c>
      <c r="Y53" s="63">
        <f t="shared" si="7"/>
        <v>0.22222222222222221</v>
      </c>
      <c r="Z53" s="63">
        <f t="shared" si="7"/>
        <v>0.22346368715083798</v>
      </c>
      <c r="AB53" s="53" t="s">
        <v>253</v>
      </c>
      <c r="AC53" s="63">
        <f t="shared" si="9"/>
        <v>0.22026431718061673</v>
      </c>
      <c r="AD53" s="63">
        <f t="shared" si="9"/>
        <v>0.43296089385474862</v>
      </c>
      <c r="AE53" s="63">
        <f t="shared" si="9"/>
        <v>0.15004840271055178</v>
      </c>
      <c r="AF53" s="63">
        <f t="shared" si="9"/>
        <v>0.15695792880258899</v>
      </c>
      <c r="AI53" s="53" t="s">
        <v>253</v>
      </c>
      <c r="AJ53" s="63">
        <f t="shared" si="8"/>
        <v>0.19013237063778579</v>
      </c>
      <c r="AK53" s="63">
        <f t="shared" si="8"/>
        <v>0.16750250752256771</v>
      </c>
      <c r="AL53" s="63">
        <f t="shared" si="8"/>
        <v>0.16304347826086957</v>
      </c>
      <c r="AM53" s="63">
        <f t="shared" si="8"/>
        <v>0.22598870056497175</v>
      </c>
    </row>
    <row r="54" spans="2:59" ht="15" x14ac:dyDescent="0.25">
      <c r="B54" s="53" t="s">
        <v>222</v>
      </c>
      <c r="C54" s="63">
        <f t="shared" si="7"/>
        <v>7.874015748031496E-3</v>
      </c>
      <c r="D54" s="63">
        <f t="shared" si="7"/>
        <v>7.0671378091872791E-3</v>
      </c>
      <c r="E54" s="63">
        <f t="shared" si="7"/>
        <v>4.0160642570281121E-3</v>
      </c>
      <c r="F54" s="63">
        <f t="shared" si="7"/>
        <v>7.2254335260115606E-3</v>
      </c>
      <c r="G54" s="63">
        <f t="shared" si="7"/>
        <v>2.8425241614553724E-3</v>
      </c>
      <c r="H54" s="63">
        <f t="shared" si="7"/>
        <v>5.4200542005420054E-3</v>
      </c>
      <c r="I54" s="63">
        <f t="shared" si="7"/>
        <v>1.1494252873563218E-2</v>
      </c>
      <c r="J54" s="63">
        <f t="shared" si="7"/>
        <v>2.1195421788893599E-2</v>
      </c>
      <c r="K54" s="63">
        <f t="shared" si="7"/>
        <v>1.2004801920768308E-2</v>
      </c>
      <c r="L54" s="63">
        <f t="shared" si="7"/>
        <v>3.1137724550898204E-2</v>
      </c>
      <c r="M54" s="63">
        <f t="shared" si="7"/>
        <v>2.5974025974025976E-2</v>
      </c>
      <c r="N54" s="63">
        <f t="shared" si="7"/>
        <v>2.7187765505522515E-2</v>
      </c>
      <c r="O54" s="63">
        <f t="shared" si="7"/>
        <v>3.3641715727502101E-3</v>
      </c>
      <c r="P54" s="63">
        <f t="shared" si="7"/>
        <v>4.7393364928909956E-3</v>
      </c>
      <c r="Q54" s="63">
        <f t="shared" si="7"/>
        <v>0</v>
      </c>
      <c r="R54" s="63">
        <f t="shared" si="7"/>
        <v>0</v>
      </c>
      <c r="S54" s="63">
        <f t="shared" si="7"/>
        <v>0</v>
      </c>
      <c r="T54" s="63">
        <f t="shared" si="7"/>
        <v>0</v>
      </c>
      <c r="U54" s="63">
        <f t="shared" si="7"/>
        <v>0</v>
      </c>
      <c r="V54" s="63">
        <f t="shared" si="7"/>
        <v>0</v>
      </c>
      <c r="W54" s="63">
        <f t="shared" si="7"/>
        <v>0</v>
      </c>
      <c r="X54" s="63">
        <f t="shared" si="7"/>
        <v>0</v>
      </c>
      <c r="Y54" s="63">
        <f t="shared" si="7"/>
        <v>0</v>
      </c>
      <c r="Z54" s="63">
        <f t="shared" si="7"/>
        <v>0</v>
      </c>
      <c r="AB54" s="53" t="s">
        <v>222</v>
      </c>
      <c r="AC54" s="63">
        <f t="shared" si="9"/>
        <v>5.5066079295154188E-3</v>
      </c>
      <c r="AD54" s="63">
        <f t="shared" si="9"/>
        <v>4.6554934823091251E-3</v>
      </c>
      <c r="AE54" s="63">
        <f t="shared" si="9"/>
        <v>1.452081316553727E-2</v>
      </c>
      <c r="AF54" s="63">
        <f t="shared" si="9"/>
        <v>2.7831715210355986E-2</v>
      </c>
      <c r="AI54" s="53" t="s">
        <v>222</v>
      </c>
      <c r="AJ54" s="63">
        <f t="shared" si="8"/>
        <v>2.4067388688327317E-3</v>
      </c>
      <c r="AK54" s="63">
        <f t="shared" si="8"/>
        <v>0</v>
      </c>
      <c r="AL54" s="63">
        <f t="shared" si="8"/>
        <v>0</v>
      </c>
      <c r="AM54" s="63">
        <f t="shared" si="8"/>
        <v>0</v>
      </c>
    </row>
    <row r="55" spans="2:59" ht="15" x14ac:dyDescent="0.25">
      <c r="B55" s="53" t="s">
        <v>189</v>
      </c>
      <c r="C55" s="63">
        <f t="shared" si="7"/>
        <v>7.874015748031496E-3</v>
      </c>
      <c r="D55" s="63">
        <f t="shared" si="7"/>
        <v>3.5335689045936395E-3</v>
      </c>
      <c r="E55" s="63">
        <f t="shared" si="7"/>
        <v>2.008032128514056E-3</v>
      </c>
      <c r="F55" s="63">
        <f t="shared" si="7"/>
        <v>2.8901734104046241E-3</v>
      </c>
      <c r="G55" s="63">
        <f t="shared" si="7"/>
        <v>2.2740193291642978E-3</v>
      </c>
      <c r="H55" s="63">
        <f t="shared" si="7"/>
        <v>5.4200542005420054E-3</v>
      </c>
      <c r="I55" s="63">
        <f t="shared" si="7"/>
        <v>5.7471264367816091E-2</v>
      </c>
      <c r="J55" s="63">
        <f t="shared" si="7"/>
        <v>8.4781687155574395E-2</v>
      </c>
      <c r="K55" s="63">
        <f t="shared" si="7"/>
        <v>6.0024009603841535E-2</v>
      </c>
      <c r="L55" s="63">
        <f t="shared" si="7"/>
        <v>8.3832335329341312E-2</v>
      </c>
      <c r="M55" s="63">
        <f t="shared" si="7"/>
        <v>8.3487940630797772E-2</v>
      </c>
      <c r="N55" s="63">
        <f t="shared" si="7"/>
        <v>7.2217502124044181E-2</v>
      </c>
      <c r="O55" s="63">
        <f t="shared" si="7"/>
        <v>0.1934398654331371</v>
      </c>
      <c r="P55" s="63">
        <f t="shared" si="7"/>
        <v>0.17377567140600317</v>
      </c>
      <c r="Q55" s="63">
        <f t="shared" si="7"/>
        <v>0.12941176470588237</v>
      </c>
      <c r="R55" s="63">
        <f t="shared" si="7"/>
        <v>0.13897280966767372</v>
      </c>
      <c r="S55" s="63">
        <f t="shared" si="7"/>
        <v>0.1393939393939394</v>
      </c>
      <c r="T55" s="63">
        <f t="shared" si="7"/>
        <v>0.13690476190476192</v>
      </c>
      <c r="U55" s="63">
        <f t="shared" si="7"/>
        <v>0.14084507042253522</v>
      </c>
      <c r="V55" s="63">
        <f t="shared" si="7"/>
        <v>0.15873015873015872</v>
      </c>
      <c r="W55" s="63">
        <f t="shared" si="7"/>
        <v>0.2</v>
      </c>
      <c r="X55" s="63">
        <f t="shared" si="7"/>
        <v>0.23255813953488372</v>
      </c>
      <c r="Y55" s="63">
        <f t="shared" si="7"/>
        <v>0.22222222222222221</v>
      </c>
      <c r="Z55" s="63">
        <f t="shared" si="7"/>
        <v>0.22346368715083798</v>
      </c>
      <c r="AB55" s="53" t="s">
        <v>189</v>
      </c>
      <c r="AC55" s="63">
        <f t="shared" si="9"/>
        <v>3.3039647577092512E-3</v>
      </c>
      <c r="AD55" s="63">
        <f t="shared" si="9"/>
        <v>3.7243947858472998E-3</v>
      </c>
      <c r="AE55" s="63">
        <f t="shared" si="9"/>
        <v>6.6553727008712482E-2</v>
      </c>
      <c r="AF55" s="63">
        <f t="shared" si="9"/>
        <v>7.9288025889967639E-2</v>
      </c>
      <c r="AI55" s="53" t="s">
        <v>189</v>
      </c>
      <c r="AJ55" s="63">
        <f t="shared" si="8"/>
        <v>0.16125150421179302</v>
      </c>
      <c r="AK55" s="63">
        <f t="shared" si="8"/>
        <v>0.13841524573721165</v>
      </c>
      <c r="AL55" s="63">
        <f t="shared" si="8"/>
        <v>0.16304347826086957</v>
      </c>
      <c r="AM55" s="63">
        <f t="shared" si="8"/>
        <v>0.22598870056497175</v>
      </c>
    </row>
    <row r="57" spans="2:59" x14ac:dyDescent="0.2">
      <c r="B57" s="54" t="s">
        <v>365</v>
      </c>
    </row>
    <row r="58" spans="2:59" ht="15.75" thickBot="1" x14ac:dyDescent="0.3">
      <c r="B58" s="53" t="str">
        <f>+B42</f>
        <v>Hon Hai</v>
      </c>
      <c r="D58" s="63">
        <f t="shared" ref="D58:Z62" si="10">+D42/C42-1</f>
        <v>4</v>
      </c>
      <c r="E58" s="63">
        <f t="shared" si="10"/>
        <v>1.1333333333333333</v>
      </c>
      <c r="F58" s="63">
        <f t="shared" si="10"/>
        <v>0.25</v>
      </c>
      <c r="G58" s="63">
        <f t="shared" si="10"/>
        <v>0.25</v>
      </c>
      <c r="H58" s="63">
        <f t="shared" si="10"/>
        <v>0.39999999999999991</v>
      </c>
      <c r="I58" s="63">
        <f t="shared" si="10"/>
        <v>0</v>
      </c>
      <c r="J58" s="63">
        <f t="shared" si="10"/>
        <v>1.1428571428571428</v>
      </c>
      <c r="K58" s="63">
        <f t="shared" si="10"/>
        <v>0.73333333333333339</v>
      </c>
      <c r="L58" s="63">
        <f t="shared" si="10"/>
        <v>-3.8461538461538436E-2</v>
      </c>
      <c r="M58" s="63">
        <f t="shared" si="10"/>
        <v>0</v>
      </c>
      <c r="N58" s="63">
        <f t="shared" si="10"/>
        <v>0.12000000000000011</v>
      </c>
      <c r="O58" s="63">
        <f t="shared" si="10"/>
        <v>-0.1428571428571429</v>
      </c>
      <c r="P58" s="63">
        <f t="shared" si="10"/>
        <v>0</v>
      </c>
      <c r="Q58" s="63">
        <f t="shared" si="10"/>
        <v>0.54166666666666674</v>
      </c>
      <c r="R58" s="63">
        <f t="shared" si="10"/>
        <v>0</v>
      </c>
      <c r="S58" s="63">
        <f t="shared" si="10"/>
        <v>-0.13513513513513509</v>
      </c>
      <c r="T58" s="63">
        <f t="shared" si="10"/>
        <v>-3.125E-2</v>
      </c>
      <c r="U58" s="63">
        <f t="shared" si="10"/>
        <v>-3.2258064516129004E-2</v>
      </c>
      <c r="V58" s="63">
        <f t="shared" si="10"/>
        <v>-0.16666666666666663</v>
      </c>
      <c r="W58" s="63">
        <f t="shared" si="10"/>
        <v>-0.19999999999999996</v>
      </c>
      <c r="X58" s="63">
        <f t="shared" si="10"/>
        <v>-0.15000000000000002</v>
      </c>
      <c r="Y58" s="63">
        <f t="shared" si="10"/>
        <v>0.17647058823529416</v>
      </c>
      <c r="Z58" s="63">
        <f t="shared" si="10"/>
        <v>0</v>
      </c>
      <c r="AB58" s="54" t="s">
        <v>366</v>
      </c>
      <c r="AI58" s="54" t="s">
        <v>366</v>
      </c>
    </row>
    <row r="59" spans="2:59" ht="15" x14ac:dyDescent="0.25">
      <c r="B59" s="53" t="str">
        <f>+B43</f>
        <v>Quanta</v>
      </c>
      <c r="D59" s="63">
        <f t="shared" si="10"/>
        <v>0</v>
      </c>
      <c r="E59" s="63">
        <f t="shared" si="10"/>
        <v>1</v>
      </c>
      <c r="F59" s="63">
        <f t="shared" si="10"/>
        <v>0.25</v>
      </c>
      <c r="G59" s="63">
        <f t="shared" si="10"/>
        <v>1.4</v>
      </c>
      <c r="H59" s="63">
        <f t="shared" si="10"/>
        <v>0.25</v>
      </c>
      <c r="I59" s="63">
        <f t="shared" si="10"/>
        <v>0.12000000000000011</v>
      </c>
      <c r="J59" s="63">
        <f t="shared" si="10"/>
        <v>9.2857142857142749E-2</v>
      </c>
      <c r="K59" s="63">
        <f t="shared" si="10"/>
        <v>0.47058823529411775</v>
      </c>
      <c r="L59" s="63">
        <f t="shared" si="10"/>
        <v>0.28888888888888897</v>
      </c>
      <c r="M59" s="63">
        <f t="shared" si="10"/>
        <v>0.2068965517241379</v>
      </c>
      <c r="N59" s="63">
        <f t="shared" si="10"/>
        <v>0.5714285714285714</v>
      </c>
      <c r="O59" s="63">
        <f t="shared" si="10"/>
        <v>-0.13636363636363635</v>
      </c>
      <c r="P59" s="63">
        <f t="shared" si="10"/>
        <v>-5.2631578947368474E-2</v>
      </c>
      <c r="Q59" s="63">
        <f t="shared" si="10"/>
        <v>0.59259259259259256</v>
      </c>
      <c r="R59" s="63">
        <f t="shared" si="10"/>
        <v>-2.3255813953488413E-2</v>
      </c>
      <c r="S59" s="63">
        <f t="shared" si="10"/>
        <v>0.19047619047619047</v>
      </c>
      <c r="T59" s="63">
        <f t="shared" si="10"/>
        <v>8.0000000000000071E-2</v>
      </c>
      <c r="U59" s="63">
        <f t="shared" si="10"/>
        <v>-0.29629629629629628</v>
      </c>
      <c r="V59" s="63">
        <f t="shared" si="10"/>
        <v>-5.2631578947368474E-2</v>
      </c>
      <c r="W59" s="63">
        <f t="shared" si="10"/>
        <v>-0.33333333333333337</v>
      </c>
      <c r="X59" s="63">
        <f t="shared" si="10"/>
        <v>-0.5</v>
      </c>
      <c r="Y59" s="63">
        <f t="shared" si="10"/>
        <v>-0.16666666666666663</v>
      </c>
      <c r="Z59" s="63">
        <f t="shared" si="10"/>
        <v>-5.0000000000000044E-2</v>
      </c>
      <c r="AB59" s="150" t="s">
        <v>362</v>
      </c>
      <c r="AC59" s="151" t="s">
        <v>352</v>
      </c>
      <c r="AD59" s="151" t="s">
        <v>297</v>
      </c>
      <c r="AE59" s="151" t="s">
        <v>353</v>
      </c>
      <c r="AF59" s="151" t="s">
        <v>354</v>
      </c>
      <c r="AG59" s="152">
        <v>2025</v>
      </c>
      <c r="AI59" s="150" t="s">
        <v>362</v>
      </c>
      <c r="AJ59" s="151" t="s">
        <v>352</v>
      </c>
      <c r="AK59" s="151" t="s">
        <v>297</v>
      </c>
      <c r="AL59" s="151" t="s">
        <v>353</v>
      </c>
      <c r="AM59" s="151" t="s">
        <v>354</v>
      </c>
      <c r="AN59" s="152">
        <v>2026</v>
      </c>
    </row>
    <row r="60" spans="2:59" ht="15" x14ac:dyDescent="0.25">
      <c r="B60" s="53" t="str">
        <f>+B44</f>
        <v>Wistron</v>
      </c>
      <c r="D60" s="63">
        <f t="shared" si="10"/>
        <v>0.77777777777777768</v>
      </c>
      <c r="E60" s="63">
        <f t="shared" si="10"/>
        <v>-6.25E-2</v>
      </c>
      <c r="F60" s="63">
        <f t="shared" si="10"/>
        <v>1.1333333333333333</v>
      </c>
      <c r="G60" s="63">
        <f t="shared" si="10"/>
        <v>4.9375</v>
      </c>
      <c r="H60" s="63">
        <f t="shared" si="10"/>
        <v>-0.21052631578947367</v>
      </c>
      <c r="I60" s="63">
        <f t="shared" si="10"/>
        <v>-0.33333333333333337</v>
      </c>
      <c r="J60" s="63">
        <f t="shared" si="10"/>
        <v>-0.7</v>
      </c>
      <c r="K60" s="63">
        <f t="shared" si="10"/>
        <v>2.9333333333333331</v>
      </c>
      <c r="L60" s="63">
        <f t="shared" si="10"/>
        <v>-0.44915254237288138</v>
      </c>
      <c r="M60" s="63">
        <f t="shared" si="10"/>
        <v>2.8461538461538463</v>
      </c>
      <c r="N60" s="63">
        <f t="shared" si="10"/>
        <v>-0.31999999999999995</v>
      </c>
      <c r="O60" s="63">
        <f t="shared" si="10"/>
        <v>0.11764705882352944</v>
      </c>
      <c r="P60" s="63">
        <f t="shared" si="10"/>
        <v>0.52631578947368429</v>
      </c>
      <c r="Q60" s="63">
        <f t="shared" si="10"/>
        <v>6.8965517241379226E-2</v>
      </c>
      <c r="R60" s="63">
        <f t="shared" si="10"/>
        <v>-0.14516129032258063</v>
      </c>
      <c r="S60" s="63">
        <f t="shared" si="10"/>
        <v>5.6603773584905648E-2</v>
      </c>
      <c r="T60" s="63">
        <f t="shared" si="10"/>
        <v>3.5714285714285809E-2</v>
      </c>
      <c r="U60" s="63">
        <f t="shared" si="10"/>
        <v>-0.17241379310344829</v>
      </c>
      <c r="V60" s="63">
        <f t="shared" si="10"/>
        <v>-0.16666666666666663</v>
      </c>
      <c r="W60" s="63">
        <f t="shared" si="10"/>
        <v>-0.19999999999999996</v>
      </c>
      <c r="X60" s="63">
        <f t="shared" si="10"/>
        <v>0.25</v>
      </c>
      <c r="Y60" s="63">
        <f t="shared" si="10"/>
        <v>0</v>
      </c>
      <c r="Z60" s="63">
        <f t="shared" si="10"/>
        <v>0</v>
      </c>
      <c r="AB60" s="153" t="s">
        <v>216</v>
      </c>
      <c r="AC60" s="195">
        <v>240</v>
      </c>
      <c r="AD60" s="195">
        <v>950</v>
      </c>
      <c r="AE60" s="195">
        <v>2500</v>
      </c>
      <c r="AF60" s="195">
        <v>3200</v>
      </c>
      <c r="AG60" s="206">
        <f>+SUM(AC60:AF60)</f>
        <v>6890</v>
      </c>
      <c r="AI60" s="153" t="s">
        <v>216</v>
      </c>
      <c r="AJ60" s="195">
        <v>1900</v>
      </c>
      <c r="AK60" s="195">
        <v>1600</v>
      </c>
      <c r="AL60" s="195">
        <v>1600</v>
      </c>
      <c r="AM60" s="195">
        <v>1550</v>
      </c>
      <c r="AN60" s="206">
        <f>+SUM(AJ60:AM60)</f>
        <v>6650</v>
      </c>
    </row>
    <row r="61" spans="2:59" ht="15" x14ac:dyDescent="0.25">
      <c r="B61" s="53" t="str">
        <f>+B45</f>
        <v>Wiwynn</v>
      </c>
      <c r="D61" s="63">
        <f t="shared" si="10"/>
        <v>1</v>
      </c>
      <c r="E61" s="63">
        <f t="shared" si="10"/>
        <v>0</v>
      </c>
      <c r="F61" s="63">
        <f t="shared" si="10"/>
        <v>1.5</v>
      </c>
      <c r="G61" s="63">
        <f t="shared" si="10"/>
        <v>0</v>
      </c>
      <c r="H61" s="63">
        <f t="shared" si="10"/>
        <v>1</v>
      </c>
      <c r="I61" s="63">
        <f t="shared" si="10"/>
        <v>1</v>
      </c>
      <c r="J61" s="63">
        <f t="shared" si="10"/>
        <v>1.5</v>
      </c>
      <c r="K61" s="63">
        <f t="shared" si="10"/>
        <v>0</v>
      </c>
      <c r="L61" s="63">
        <f t="shared" si="10"/>
        <v>1.6</v>
      </c>
      <c r="M61" s="63">
        <f t="shared" si="10"/>
        <v>7.6923076923076872E-2</v>
      </c>
      <c r="N61" s="63">
        <f t="shared" si="10"/>
        <v>0.14285714285714279</v>
      </c>
      <c r="O61" s="63">
        <f t="shared" si="10"/>
        <v>-0.875</v>
      </c>
      <c r="P61" s="63">
        <f t="shared" si="10"/>
        <v>0.5</v>
      </c>
      <c r="Q61" s="63">
        <f t="shared" si="10"/>
        <v>-1</v>
      </c>
      <c r="R61" s="220" t="str">
        <f>+IFERROR(R45/Q45-1,"--")</f>
        <v>--</v>
      </c>
      <c r="S61" s="220" t="str">
        <f t="shared" ref="S61:Z61" si="11">+IFERROR(S45/R45-1,"--")</f>
        <v>--</v>
      </c>
      <c r="T61" s="220" t="str">
        <f t="shared" si="11"/>
        <v>--</v>
      </c>
      <c r="U61" s="220" t="str">
        <f t="shared" si="11"/>
        <v>--</v>
      </c>
      <c r="V61" s="220" t="str">
        <f t="shared" si="11"/>
        <v>--</v>
      </c>
      <c r="W61" s="220" t="str">
        <f t="shared" si="11"/>
        <v>--</v>
      </c>
      <c r="X61" s="220" t="str">
        <f t="shared" si="11"/>
        <v>--</v>
      </c>
      <c r="Y61" s="220" t="str">
        <f t="shared" si="11"/>
        <v>--</v>
      </c>
      <c r="Z61" s="220" t="str">
        <f t="shared" si="11"/>
        <v>--</v>
      </c>
      <c r="AB61" s="153" t="s">
        <v>209</v>
      </c>
      <c r="AC61" s="195">
        <v>160</v>
      </c>
      <c r="AD61" s="195">
        <v>550</v>
      </c>
      <c r="AE61" s="195">
        <v>2000</v>
      </c>
      <c r="AF61" s="195">
        <v>3100</v>
      </c>
      <c r="AG61" s="206">
        <f>+SUM(AC61:AF61)</f>
        <v>5810</v>
      </c>
      <c r="AI61" s="153" t="s">
        <v>209</v>
      </c>
      <c r="AJ61" s="195">
        <v>5000</v>
      </c>
      <c r="AK61" s="195">
        <v>6600</v>
      </c>
      <c r="AL61" s="195">
        <v>4600</v>
      </c>
      <c r="AM61" s="195">
        <v>1800</v>
      </c>
      <c r="AN61" s="206">
        <f>+SUM(AJ61:AM61)</f>
        <v>18000</v>
      </c>
    </row>
    <row r="62" spans="2:59" ht="15" x14ac:dyDescent="0.25">
      <c r="B62" s="53" t="str">
        <f>+B46</f>
        <v>Others</v>
      </c>
      <c r="D62" s="63">
        <f t="shared" si="10"/>
        <v>0</v>
      </c>
      <c r="E62" s="63">
        <f t="shared" si="10"/>
        <v>0</v>
      </c>
      <c r="F62" s="63">
        <f t="shared" si="10"/>
        <v>1</v>
      </c>
      <c r="G62" s="63">
        <f t="shared" si="10"/>
        <v>1</v>
      </c>
      <c r="H62" s="63">
        <f t="shared" si="10"/>
        <v>1.5</v>
      </c>
      <c r="I62" s="63">
        <f t="shared" si="10"/>
        <v>9</v>
      </c>
      <c r="J62" s="63">
        <f t="shared" si="10"/>
        <v>1</v>
      </c>
      <c r="K62" s="63">
        <f t="shared" si="10"/>
        <v>0.25</v>
      </c>
      <c r="L62" s="63">
        <f t="shared" si="10"/>
        <v>0.39999999999999991</v>
      </c>
      <c r="M62" s="63">
        <f t="shared" si="10"/>
        <v>0.28571428571428581</v>
      </c>
      <c r="N62" s="63">
        <f t="shared" si="10"/>
        <v>-5.555555555555558E-2</v>
      </c>
      <c r="O62" s="63">
        <f t="shared" si="10"/>
        <v>1.7058823529411766</v>
      </c>
      <c r="P62" s="63">
        <f t="shared" si="10"/>
        <v>-4.3478260869565188E-2</v>
      </c>
      <c r="Q62" s="63">
        <f t="shared" si="10"/>
        <v>0</v>
      </c>
      <c r="R62" s="63">
        <f t="shared" si="10"/>
        <v>4.5454545454545414E-2</v>
      </c>
      <c r="S62" s="63">
        <f t="shared" si="10"/>
        <v>0</v>
      </c>
      <c r="T62" s="63">
        <f t="shared" si="10"/>
        <v>0</v>
      </c>
      <c r="U62" s="63">
        <f t="shared" si="10"/>
        <v>-0.13043478260869568</v>
      </c>
      <c r="V62" s="63">
        <f t="shared" si="10"/>
        <v>0</v>
      </c>
      <c r="W62" s="63">
        <f t="shared" si="10"/>
        <v>0</v>
      </c>
      <c r="X62" s="63">
        <f t="shared" si="10"/>
        <v>0</v>
      </c>
      <c r="Y62" s="63">
        <f t="shared" si="10"/>
        <v>0</v>
      </c>
      <c r="Z62" s="63">
        <f t="shared" si="10"/>
        <v>0</v>
      </c>
      <c r="AB62" s="153" t="s">
        <v>244</v>
      </c>
      <c r="AC62" s="195">
        <v>0</v>
      </c>
      <c r="AD62" s="195">
        <v>0</v>
      </c>
      <c r="AE62" s="195">
        <v>0</v>
      </c>
      <c r="AF62" s="195">
        <v>100</v>
      </c>
      <c r="AG62" s="206">
        <f>+SUM(AC62:AF62)</f>
        <v>100</v>
      </c>
      <c r="AI62" s="153" t="s">
        <v>244</v>
      </c>
      <c r="AJ62" s="195">
        <v>0</v>
      </c>
      <c r="AK62" s="195">
        <v>0</v>
      </c>
      <c r="AL62" s="195">
        <v>200</v>
      </c>
      <c r="AM62" s="195">
        <v>800</v>
      </c>
      <c r="AN62" s="206">
        <f>+SUM(AJ62:AM62)</f>
        <v>1000</v>
      </c>
    </row>
    <row r="63" spans="2:59" x14ac:dyDescent="0.2">
      <c r="B63" s="54" t="s">
        <v>204</v>
      </c>
      <c r="D63" s="207">
        <f t="shared" ref="D63:Z63" si="12">+D40/C40-1</f>
        <v>1.2283464566929134</v>
      </c>
      <c r="E63" s="207">
        <f t="shared" si="12"/>
        <v>0.75971731448763258</v>
      </c>
      <c r="F63" s="207">
        <f t="shared" si="12"/>
        <v>0.38955823293172687</v>
      </c>
      <c r="G63" s="207">
        <f t="shared" si="12"/>
        <v>1.5419075144508669</v>
      </c>
      <c r="H63" s="207">
        <f t="shared" si="12"/>
        <v>4.889141557703236E-2</v>
      </c>
      <c r="I63" s="207">
        <f t="shared" si="12"/>
        <v>-5.6910569105691033E-2</v>
      </c>
      <c r="J63" s="207">
        <f t="shared" si="12"/>
        <v>0.35574712643678152</v>
      </c>
      <c r="K63" s="207">
        <f t="shared" si="12"/>
        <v>0.76557863501483681</v>
      </c>
      <c r="L63" s="207">
        <f t="shared" si="12"/>
        <v>2.4009603841537164E-3</v>
      </c>
      <c r="M63" s="207">
        <f t="shared" si="12"/>
        <v>0.29101796407185621</v>
      </c>
      <c r="N63" s="207">
        <f t="shared" si="12"/>
        <v>9.1836734693877542E-2</v>
      </c>
      <c r="O63" s="207">
        <f t="shared" si="12"/>
        <v>1.0195412064570863E-2</v>
      </c>
      <c r="P63" s="207">
        <f t="shared" si="12"/>
        <v>6.4760302775441536E-2</v>
      </c>
      <c r="Q63" s="207">
        <f t="shared" si="12"/>
        <v>0.34281200631911535</v>
      </c>
      <c r="R63" s="207">
        <f t="shared" si="12"/>
        <v>-2.6470588235294135E-2</v>
      </c>
      <c r="S63" s="207">
        <f t="shared" si="12"/>
        <v>-3.0211480362537513E-3</v>
      </c>
      <c r="T63" s="207">
        <f t="shared" si="12"/>
        <v>1.8181818181818077E-2</v>
      </c>
      <c r="U63" s="207">
        <f t="shared" si="12"/>
        <v>-0.15476190476190477</v>
      </c>
      <c r="V63" s="207">
        <f t="shared" si="12"/>
        <v>-0.11267605633802813</v>
      </c>
      <c r="W63" s="207">
        <f t="shared" si="12"/>
        <v>-0.20634920634920639</v>
      </c>
      <c r="X63" s="207">
        <f t="shared" si="12"/>
        <v>-0.14000000000000001</v>
      </c>
      <c r="Y63" s="207">
        <f t="shared" si="12"/>
        <v>4.6511627906976827E-2</v>
      </c>
      <c r="Z63" s="207">
        <f t="shared" si="12"/>
        <v>-5.5555555555555358E-3</v>
      </c>
      <c r="AB63" s="153" t="s">
        <v>189</v>
      </c>
      <c r="AC63" s="154">
        <f>+AC64-SUM(AC60:AC62)</f>
        <v>100</v>
      </c>
      <c r="AD63" s="154">
        <f>+AD64-SUM(AD60:AD62)</f>
        <v>100</v>
      </c>
      <c r="AE63" s="154">
        <f>+AE64-SUM(AE60:AE62)</f>
        <v>300</v>
      </c>
      <c r="AF63" s="154">
        <f>+AF64-SUM(AF60:AF62)</f>
        <v>1400</v>
      </c>
      <c r="AG63" s="206">
        <f>+SUM(AC63:AF63)</f>
        <v>1900</v>
      </c>
      <c r="AI63" s="153" t="s">
        <v>189</v>
      </c>
      <c r="AJ63" s="154">
        <f>+AJ64-SUM(AJ60:AJ62)</f>
        <v>1600</v>
      </c>
      <c r="AK63" s="154">
        <f>+AK64-SUM(AK60:AK62)</f>
        <v>1800</v>
      </c>
      <c r="AL63" s="154">
        <f>+AL64-SUM(AL60:AL62)</f>
        <v>1100</v>
      </c>
      <c r="AM63" s="154">
        <f>+AM64-SUM(AM60:AM62)</f>
        <v>1550</v>
      </c>
      <c r="AN63" s="206">
        <f>+SUM(AJ63:AM63)</f>
        <v>6050</v>
      </c>
    </row>
    <row r="64" spans="2:59" ht="12" thickBot="1" x14ac:dyDescent="0.25">
      <c r="B64" s="54"/>
      <c r="D64" s="207"/>
      <c r="E64" s="207"/>
      <c r="F64" s="207"/>
      <c r="G64" s="207"/>
      <c r="H64" s="207"/>
      <c r="I64" s="207"/>
      <c r="J64" s="207"/>
      <c r="K64" s="207"/>
      <c r="L64" s="207"/>
      <c r="M64" s="207"/>
      <c r="N64" s="207"/>
      <c r="P64" s="207"/>
      <c r="Q64" s="207"/>
      <c r="R64" s="207"/>
      <c r="S64" s="207"/>
      <c r="T64" s="207"/>
      <c r="U64" s="207"/>
      <c r="V64" s="207"/>
      <c r="W64" s="207"/>
      <c r="X64" s="207"/>
      <c r="Y64" s="207"/>
      <c r="Z64" s="207"/>
      <c r="AB64" s="169" t="s">
        <v>204</v>
      </c>
      <c r="AC64" s="158">
        <f>+AC42</f>
        <v>500</v>
      </c>
      <c r="AD64" s="158">
        <f>+AD42</f>
        <v>1600</v>
      </c>
      <c r="AE64" s="158">
        <f>+AE42</f>
        <v>4800</v>
      </c>
      <c r="AF64" s="158">
        <f>+AF42</f>
        <v>7800</v>
      </c>
      <c r="AG64" s="194">
        <f>+SUM(AC64:AF64)</f>
        <v>14700</v>
      </c>
      <c r="AI64" s="169" t="s">
        <v>204</v>
      </c>
      <c r="AJ64" s="158">
        <f>+AJ42</f>
        <v>8500</v>
      </c>
      <c r="AK64" s="158">
        <f>+AK42</f>
        <v>10000</v>
      </c>
      <c r="AL64" s="158">
        <f>+AL42</f>
        <v>7500</v>
      </c>
      <c r="AM64" s="158">
        <f>+AM42</f>
        <v>5700</v>
      </c>
      <c r="AN64" s="194">
        <f>+SUM(AJ64:AM64)</f>
        <v>31700</v>
      </c>
    </row>
    <row r="65" spans="2:40" ht="12" thickBot="1" x14ac:dyDescent="0.25">
      <c r="B65" s="54" t="s">
        <v>208</v>
      </c>
    </row>
    <row r="66" spans="2:40" ht="15" x14ac:dyDescent="0.25">
      <c r="B66" s="53" t="str">
        <f>+B50</f>
        <v>Mix</v>
      </c>
      <c r="D66" s="63"/>
      <c r="E66" s="63"/>
      <c r="F66" s="63"/>
      <c r="G66" s="63"/>
      <c r="H66" s="63"/>
      <c r="I66" s="63"/>
      <c r="J66" s="63"/>
      <c r="K66" s="63"/>
      <c r="L66" s="63"/>
      <c r="M66" s="63"/>
      <c r="N66" s="63"/>
      <c r="O66" s="63">
        <f>+O42/C42-1</f>
        <v>79</v>
      </c>
      <c r="P66" s="63">
        <f t="shared" ref="P66:Z70" si="13">+P42/D42-1</f>
        <v>15</v>
      </c>
      <c r="Q66" s="63">
        <f t="shared" si="13"/>
        <v>10.5625</v>
      </c>
      <c r="R66" s="63">
        <f t="shared" si="13"/>
        <v>8.25</v>
      </c>
      <c r="S66" s="63">
        <f t="shared" si="13"/>
        <v>5.4</v>
      </c>
      <c r="T66" s="63">
        <f t="shared" si="13"/>
        <v>3.4285714285714288</v>
      </c>
      <c r="U66" s="63">
        <f t="shared" si="13"/>
        <v>3.2857142857142856</v>
      </c>
      <c r="V66" s="63">
        <f t="shared" si="13"/>
        <v>0.66666666666666674</v>
      </c>
      <c r="W66" s="63">
        <f t="shared" si="13"/>
        <v>-0.23076923076923073</v>
      </c>
      <c r="X66" s="63">
        <f t="shared" si="13"/>
        <v>-0.31999999999999995</v>
      </c>
      <c r="Y66" s="63">
        <f t="shared" si="13"/>
        <v>-0.19999999999999996</v>
      </c>
      <c r="Z66" s="63">
        <f t="shared" si="13"/>
        <v>-0.2857142857142857</v>
      </c>
      <c r="AB66" s="150" t="s">
        <v>220</v>
      </c>
      <c r="AC66" s="151" t="s">
        <v>352</v>
      </c>
      <c r="AD66" s="151" t="s">
        <v>297</v>
      </c>
      <c r="AE66" s="151" t="s">
        <v>353</v>
      </c>
      <c r="AF66" s="151" t="s">
        <v>354</v>
      </c>
      <c r="AG66" s="152">
        <v>2025</v>
      </c>
      <c r="AI66" s="150" t="s">
        <v>220</v>
      </c>
      <c r="AJ66" s="151" t="s">
        <v>352</v>
      </c>
      <c r="AK66" s="151" t="s">
        <v>297</v>
      </c>
      <c r="AL66" s="151" t="s">
        <v>353</v>
      </c>
      <c r="AM66" s="151" t="s">
        <v>354</v>
      </c>
      <c r="AN66" s="152">
        <v>2026</v>
      </c>
    </row>
    <row r="67" spans="2:40" ht="15" x14ac:dyDescent="0.25">
      <c r="B67" s="53" t="str">
        <f>+B51</f>
        <v>Hon Hai</v>
      </c>
      <c r="D67" s="63"/>
      <c r="E67" s="63"/>
      <c r="F67" s="63"/>
      <c r="G67" s="63"/>
      <c r="H67" s="63"/>
      <c r="I67" s="63"/>
      <c r="J67" s="63"/>
      <c r="K67" s="63"/>
      <c r="L67" s="63"/>
      <c r="M67" s="63"/>
      <c r="N67" s="63"/>
      <c r="O67" s="63">
        <f>+O43/C43-1</f>
        <v>27.5</v>
      </c>
      <c r="P67" s="63">
        <f t="shared" si="13"/>
        <v>26</v>
      </c>
      <c r="Q67" s="63">
        <f t="shared" si="13"/>
        <v>20.5</v>
      </c>
      <c r="R67" s="63">
        <f t="shared" si="13"/>
        <v>15.8</v>
      </c>
      <c r="S67" s="63">
        <f t="shared" si="13"/>
        <v>7.3333333333333339</v>
      </c>
      <c r="T67" s="63">
        <f t="shared" si="13"/>
        <v>6.2</v>
      </c>
      <c r="U67" s="63">
        <f t="shared" si="13"/>
        <v>3.5238095238095237</v>
      </c>
      <c r="V67" s="63">
        <f t="shared" si="13"/>
        <v>2.9215686274509802</v>
      </c>
      <c r="W67" s="63">
        <f t="shared" si="13"/>
        <v>0.77777777777777768</v>
      </c>
      <c r="X67" s="63">
        <f t="shared" si="13"/>
        <v>-0.31034482758620685</v>
      </c>
      <c r="Y67" s="63">
        <f t="shared" si="13"/>
        <v>-0.52380952380952384</v>
      </c>
      <c r="Z67" s="63">
        <f t="shared" si="13"/>
        <v>-0.71212121212121215</v>
      </c>
      <c r="AB67" s="153" t="s">
        <v>210</v>
      </c>
      <c r="AC67" s="195">
        <v>100</v>
      </c>
      <c r="AD67" s="195">
        <v>215</v>
      </c>
      <c r="AE67" s="195">
        <v>300</v>
      </c>
      <c r="AF67" s="195">
        <v>1112</v>
      </c>
      <c r="AG67" s="206">
        <f>+SUM(AC67:AF67)</f>
        <v>1727</v>
      </c>
      <c r="AI67" s="153" t="s">
        <v>210</v>
      </c>
      <c r="AJ67" s="195">
        <v>2300</v>
      </c>
      <c r="AK67" s="195">
        <v>500</v>
      </c>
      <c r="AL67" s="195">
        <v>400</v>
      </c>
      <c r="AM67" s="195">
        <v>0</v>
      </c>
      <c r="AN67" s="206">
        <f>+SUM(AJ67:AM67)</f>
        <v>3200</v>
      </c>
    </row>
    <row r="68" spans="2:40" ht="15" x14ac:dyDescent="0.25">
      <c r="B68" s="53" t="str">
        <f>+B52</f>
        <v>Quanta</v>
      </c>
      <c r="D68" s="63"/>
      <c r="E68" s="63"/>
      <c r="F68" s="63"/>
      <c r="G68" s="63"/>
      <c r="H68" s="63"/>
      <c r="I68" s="63"/>
      <c r="J68" s="63"/>
      <c r="K68" s="63"/>
      <c r="L68" s="63"/>
      <c r="M68" s="63"/>
      <c r="N68" s="63"/>
      <c r="O68" s="63">
        <f>+O44/C44-1</f>
        <v>20.111111111111111</v>
      </c>
      <c r="P68" s="63">
        <f t="shared" si="13"/>
        <v>17.125</v>
      </c>
      <c r="Q68" s="63">
        <f t="shared" si="13"/>
        <v>19.666666666666668</v>
      </c>
      <c r="R68" s="63">
        <f t="shared" si="13"/>
        <v>7.28125</v>
      </c>
      <c r="S68" s="63">
        <f t="shared" si="13"/>
        <v>0.47368421052631571</v>
      </c>
      <c r="T68" s="63">
        <f t="shared" si="13"/>
        <v>0.93333333333333335</v>
      </c>
      <c r="U68" s="63">
        <f t="shared" si="13"/>
        <v>1.4</v>
      </c>
      <c r="V68" s="63">
        <f t="shared" si="13"/>
        <v>5.666666666666667</v>
      </c>
      <c r="W68" s="63">
        <f t="shared" si="13"/>
        <v>0.35593220338983045</v>
      </c>
      <c r="X68" s="63">
        <f t="shared" si="13"/>
        <v>2.0769230769230771</v>
      </c>
      <c r="Y68" s="63">
        <f t="shared" si="13"/>
        <v>-0.19999999999999996</v>
      </c>
      <c r="Z68" s="63">
        <f t="shared" si="13"/>
        <v>0.17647058823529416</v>
      </c>
      <c r="AB68" s="153" t="s">
        <v>211</v>
      </c>
      <c r="AC68" s="195">
        <v>20</v>
      </c>
      <c r="AD68" s="195">
        <v>45</v>
      </c>
      <c r="AE68" s="195">
        <v>412</v>
      </c>
      <c r="AF68" s="195">
        <v>467</v>
      </c>
      <c r="AG68" s="206">
        <f>+SUM(AC68:AF68)</f>
        <v>944</v>
      </c>
      <c r="AI68" s="153" t="s">
        <v>211</v>
      </c>
      <c r="AJ68" s="195">
        <v>1000</v>
      </c>
      <c r="AK68" s="195">
        <v>4400</v>
      </c>
      <c r="AL68" s="195">
        <v>2800</v>
      </c>
      <c r="AM68" s="195">
        <v>1000</v>
      </c>
      <c r="AN68" s="206">
        <f>+SUM(AJ68:AM68)</f>
        <v>9200</v>
      </c>
    </row>
    <row r="69" spans="2:40" ht="15" x14ac:dyDescent="0.25">
      <c r="B69" s="53" t="str">
        <f>+B53</f>
        <v>Wistron</v>
      </c>
      <c r="D69" s="63"/>
      <c r="E69" s="63"/>
      <c r="F69" s="63"/>
      <c r="G69" s="63"/>
      <c r="H69" s="63"/>
      <c r="I69" s="63"/>
      <c r="J69" s="63"/>
      <c r="K69" s="63"/>
      <c r="L69" s="63"/>
      <c r="M69" s="63"/>
      <c r="N69" s="63"/>
      <c r="O69" s="63">
        <f>+O45/C45-1</f>
        <v>19</v>
      </c>
      <c r="P69" s="63">
        <f t="shared" si="13"/>
        <v>14</v>
      </c>
      <c r="Q69" s="63">
        <f t="shared" si="13"/>
        <v>-1</v>
      </c>
      <c r="R69" s="63">
        <f t="shared" si="13"/>
        <v>-1</v>
      </c>
      <c r="S69" s="63">
        <f t="shared" si="13"/>
        <v>-1</v>
      </c>
      <c r="T69" s="63">
        <f t="shared" si="13"/>
        <v>-1</v>
      </c>
      <c r="U69" s="63">
        <f t="shared" si="13"/>
        <v>-1</v>
      </c>
      <c r="V69" s="63">
        <f t="shared" si="13"/>
        <v>-1</v>
      </c>
      <c r="W69" s="63">
        <f t="shared" si="13"/>
        <v>-1</v>
      </c>
      <c r="X69" s="63">
        <f t="shared" si="13"/>
        <v>-1</v>
      </c>
      <c r="Y69" s="63">
        <f t="shared" si="13"/>
        <v>-1</v>
      </c>
      <c r="Z69" s="63">
        <f t="shared" si="13"/>
        <v>-1</v>
      </c>
      <c r="AB69" s="153" t="s">
        <v>244</v>
      </c>
      <c r="AC69" s="195">
        <v>80</v>
      </c>
      <c r="AD69" s="195">
        <v>540</v>
      </c>
      <c r="AE69" s="195">
        <v>842</v>
      </c>
      <c r="AF69" s="195">
        <v>1541</v>
      </c>
      <c r="AG69" s="206">
        <f>+SUM(AC69:AF69)</f>
        <v>3003</v>
      </c>
      <c r="AI69" s="153" t="s">
        <v>244</v>
      </c>
      <c r="AJ69" s="195">
        <v>1400</v>
      </c>
      <c r="AK69" s="195">
        <v>1200</v>
      </c>
      <c r="AL69" s="195">
        <v>800</v>
      </c>
      <c r="AM69" s="195">
        <v>400</v>
      </c>
      <c r="AN69" s="206">
        <f>+SUM(AJ69:AM69)</f>
        <v>3800</v>
      </c>
    </row>
    <row r="70" spans="2:40" ht="15" x14ac:dyDescent="0.25">
      <c r="B70" s="53" t="str">
        <f>+B54</f>
        <v>Wiwynn</v>
      </c>
      <c r="D70" s="63"/>
      <c r="E70" s="63"/>
      <c r="F70" s="63"/>
      <c r="G70" s="63"/>
      <c r="H70" s="63"/>
      <c r="I70" s="63"/>
      <c r="J70" s="63"/>
      <c r="K70" s="63"/>
      <c r="L70" s="63"/>
      <c r="M70" s="63"/>
      <c r="N70" s="63"/>
      <c r="O70" s="63">
        <f>+O46/C46-1</f>
        <v>1149</v>
      </c>
      <c r="P70" s="63">
        <f t="shared" si="13"/>
        <v>1099</v>
      </c>
      <c r="Q70" s="63">
        <f t="shared" si="13"/>
        <v>1099</v>
      </c>
      <c r="R70" s="63">
        <f t="shared" si="13"/>
        <v>574</v>
      </c>
      <c r="S70" s="63">
        <f t="shared" si="13"/>
        <v>286.5</v>
      </c>
      <c r="T70" s="63">
        <f t="shared" si="13"/>
        <v>114</v>
      </c>
      <c r="U70" s="63">
        <f t="shared" si="13"/>
        <v>9</v>
      </c>
      <c r="V70" s="63">
        <f t="shared" si="13"/>
        <v>4</v>
      </c>
      <c r="W70" s="63">
        <f t="shared" si="13"/>
        <v>3</v>
      </c>
      <c r="X70" s="63">
        <f t="shared" si="13"/>
        <v>1.8571428571428572</v>
      </c>
      <c r="Y70" s="63">
        <f t="shared" si="13"/>
        <v>1.2222222222222223</v>
      </c>
      <c r="Z70" s="63">
        <f t="shared" si="13"/>
        <v>1.3529411764705883</v>
      </c>
      <c r="AB70" s="153" t="s">
        <v>189</v>
      </c>
      <c r="AC70" s="154">
        <f>+AC71-SUM(AC67:AC69)</f>
        <v>0</v>
      </c>
      <c r="AD70" s="154">
        <f>+AD71-SUM(AD67:AD69)</f>
        <v>0</v>
      </c>
      <c r="AE70" s="154">
        <f>+AE71-SUM(AE67:AE69)</f>
        <v>0</v>
      </c>
      <c r="AF70" s="154">
        <f>+AF71-SUM(AF67:AF69)</f>
        <v>450</v>
      </c>
      <c r="AG70" s="206">
        <f>+AG71-SUM(AG67:AG69)</f>
        <v>450</v>
      </c>
      <c r="AI70" s="153" t="s">
        <v>216</v>
      </c>
      <c r="AJ70" s="154">
        <f>+AJ71-SUM(AJ67:AJ69)</f>
        <v>225</v>
      </c>
      <c r="AK70" s="154">
        <f>+AK71-SUM(AK67:AK69)</f>
        <v>1200</v>
      </c>
      <c r="AL70" s="154">
        <f>+AL71-SUM(AL67:AL69)</f>
        <v>900</v>
      </c>
      <c r="AM70" s="154">
        <f>+AM71-SUM(AM67:AM69)</f>
        <v>175</v>
      </c>
      <c r="AN70" s="206">
        <f>+AN71-SUM(AN67:AN69)</f>
        <v>2500</v>
      </c>
    </row>
    <row r="71" spans="2:40" ht="12" thickBot="1" x14ac:dyDescent="0.25">
      <c r="B71" s="54" t="s">
        <v>204</v>
      </c>
      <c r="D71" s="207"/>
      <c r="E71" s="207"/>
      <c r="F71" s="207"/>
      <c r="G71" s="207"/>
      <c r="H71" s="207"/>
      <c r="I71" s="207"/>
      <c r="J71" s="207"/>
      <c r="K71" s="207"/>
      <c r="L71" s="207"/>
      <c r="M71" s="207"/>
      <c r="N71" s="207"/>
      <c r="O71" s="207">
        <f>+O40/C40-1</f>
        <v>45.811023622047244</v>
      </c>
      <c r="P71" s="207">
        <f t="shared" ref="P71:Z71" si="14">+P40/D40-1</f>
        <v>21.367491166077738</v>
      </c>
      <c r="Q71" s="207">
        <f t="shared" si="14"/>
        <v>16.068273092369477</v>
      </c>
      <c r="R71" s="207">
        <f t="shared" si="14"/>
        <v>10.958092485549132</v>
      </c>
      <c r="S71" s="207">
        <f t="shared" si="14"/>
        <v>3.6901648664013642</v>
      </c>
      <c r="T71" s="207">
        <f t="shared" si="14"/>
        <v>3.5528455284552845</v>
      </c>
      <c r="U71" s="207">
        <f t="shared" si="14"/>
        <v>3.0804597701149428</v>
      </c>
      <c r="V71" s="207">
        <f t="shared" si="14"/>
        <v>1.6706231454005933</v>
      </c>
      <c r="W71" s="207">
        <f t="shared" si="14"/>
        <v>0.20048019207683065</v>
      </c>
      <c r="X71" s="207">
        <f t="shared" si="14"/>
        <v>2.9940119760478945E-2</v>
      </c>
      <c r="Y71" s="207">
        <f t="shared" si="14"/>
        <v>-0.16512059369202226</v>
      </c>
      <c r="Z71" s="207">
        <f t="shared" si="14"/>
        <v>-0.23959218351741718</v>
      </c>
      <c r="AB71" s="169" t="s">
        <v>204</v>
      </c>
      <c r="AC71" s="158">
        <f>+AC43</f>
        <v>200</v>
      </c>
      <c r="AD71" s="158">
        <f>+AD43</f>
        <v>800</v>
      </c>
      <c r="AE71" s="158">
        <f>+AE43</f>
        <v>1554</v>
      </c>
      <c r="AF71" s="158">
        <f>+AF43</f>
        <v>3570</v>
      </c>
      <c r="AG71" s="194">
        <f>+SUM(AC71:AF71)</f>
        <v>6124</v>
      </c>
      <c r="AI71" s="169" t="s">
        <v>204</v>
      </c>
      <c r="AJ71" s="158">
        <f>+AJ43</f>
        <v>4925</v>
      </c>
      <c r="AK71" s="158">
        <f>+AK43</f>
        <v>7300</v>
      </c>
      <c r="AL71" s="158">
        <f>+AL43</f>
        <v>4900</v>
      </c>
      <c r="AM71" s="158">
        <f>+AM43</f>
        <v>1575</v>
      </c>
      <c r="AN71" s="194">
        <f>+SUM(AJ71:AM71)</f>
        <v>18700</v>
      </c>
    </row>
    <row r="72" spans="2:40" ht="12" thickBot="1" x14ac:dyDescent="0.25"/>
    <row r="73" spans="2:40" x14ac:dyDescent="0.2">
      <c r="AB73" s="150" t="s">
        <v>253</v>
      </c>
      <c r="AC73" s="151" t="s">
        <v>352</v>
      </c>
      <c r="AD73" s="151" t="s">
        <v>297</v>
      </c>
      <c r="AE73" s="151" t="s">
        <v>353</v>
      </c>
      <c r="AF73" s="151" t="s">
        <v>354</v>
      </c>
      <c r="AG73" s="152">
        <v>2025</v>
      </c>
      <c r="AI73" s="150" t="s">
        <v>253</v>
      </c>
      <c r="AJ73" s="151" t="s">
        <v>352</v>
      </c>
      <c r="AK73" s="151" t="s">
        <v>297</v>
      </c>
      <c r="AL73" s="151" t="s">
        <v>353</v>
      </c>
      <c r="AM73" s="151" t="s">
        <v>354</v>
      </c>
      <c r="AN73" s="152">
        <v>2026</v>
      </c>
    </row>
    <row r="74" spans="2:40" x14ac:dyDescent="0.2">
      <c r="AB74" s="153" t="s">
        <v>367</v>
      </c>
      <c r="AC74" s="195">
        <v>200</v>
      </c>
      <c r="AD74" s="195">
        <v>1300</v>
      </c>
      <c r="AE74" s="195">
        <v>400</v>
      </c>
      <c r="AF74" s="195">
        <v>650</v>
      </c>
      <c r="AG74" s="206">
        <f>+SUM(AC74:AF74)</f>
        <v>2550</v>
      </c>
      <c r="AI74" s="153" t="s">
        <v>367</v>
      </c>
      <c r="AJ74" s="195">
        <v>1000</v>
      </c>
      <c r="AK74" s="195">
        <v>1500</v>
      </c>
      <c r="AL74" s="195">
        <v>1000</v>
      </c>
      <c r="AM74" s="195">
        <v>1000</v>
      </c>
      <c r="AN74" s="206">
        <f>+SUM(AJ74:AM74)</f>
        <v>4500</v>
      </c>
    </row>
    <row r="75" spans="2:40" x14ac:dyDescent="0.2">
      <c r="AB75" s="153" t="s">
        <v>215</v>
      </c>
      <c r="AC75" s="195">
        <v>0</v>
      </c>
      <c r="AD75" s="195">
        <v>560</v>
      </c>
      <c r="AE75" s="195">
        <v>800</v>
      </c>
      <c r="AF75" s="195">
        <v>1040</v>
      </c>
      <c r="AG75" s="206">
        <f>+SUM(AC75:AF75)</f>
        <v>2400</v>
      </c>
      <c r="AI75" s="153" t="s">
        <v>215</v>
      </c>
      <c r="AJ75" s="195">
        <v>1200</v>
      </c>
      <c r="AK75" s="195">
        <v>1000</v>
      </c>
      <c r="AL75" s="195">
        <v>800</v>
      </c>
      <c r="AM75" s="195">
        <v>500</v>
      </c>
      <c r="AN75" s="206">
        <f>+SUM(AJ75:AM75)</f>
        <v>3500</v>
      </c>
    </row>
    <row r="76" spans="2:40" x14ac:dyDescent="0.2">
      <c r="AB76" s="153" t="s">
        <v>216</v>
      </c>
      <c r="AC76" s="195">
        <v>0</v>
      </c>
      <c r="AD76" s="195">
        <v>0</v>
      </c>
      <c r="AE76" s="195">
        <v>0</v>
      </c>
      <c r="AF76" s="195">
        <v>400</v>
      </c>
      <c r="AG76" s="206">
        <f>+SUM(AC76:AF76)</f>
        <v>400</v>
      </c>
      <c r="AI76" s="153" t="s">
        <v>216</v>
      </c>
      <c r="AJ76" s="195">
        <v>0</v>
      </c>
      <c r="AK76" s="195">
        <v>0</v>
      </c>
      <c r="AL76" s="195">
        <v>0</v>
      </c>
      <c r="AM76" s="195"/>
      <c r="AN76" s="206">
        <f>+SUM(AJ76:AM76)</f>
        <v>0</v>
      </c>
    </row>
    <row r="77" spans="2:40" x14ac:dyDescent="0.2">
      <c r="AB77" s="153" t="s">
        <v>189</v>
      </c>
      <c r="AC77" s="154">
        <f>+AC78-SUM(AC74:AC76)</f>
        <v>0</v>
      </c>
      <c r="AD77" s="154">
        <f>+AD78-SUM(AD74:AD76)</f>
        <v>0</v>
      </c>
      <c r="AE77" s="154">
        <f>+AE78-SUM(AE74:AE76)</f>
        <v>40</v>
      </c>
      <c r="AF77" s="154">
        <f>+AF78-SUM(AF74:AF76)</f>
        <v>335</v>
      </c>
      <c r="AG77" s="206">
        <f>+SUM(AC77:AF77)</f>
        <v>375</v>
      </c>
      <c r="AI77" s="153" t="s">
        <v>189</v>
      </c>
      <c r="AJ77" s="154">
        <f>+AJ78-SUM(AJ74:AJ76)</f>
        <v>1750</v>
      </c>
      <c r="AK77" s="154">
        <f>+AK78-SUM(AK74:AK76)</f>
        <v>1675</v>
      </c>
      <c r="AL77" s="154">
        <f>+AL78-SUM(AL74:AL76)</f>
        <v>1200</v>
      </c>
      <c r="AM77" s="154">
        <f>+AM78-SUM(AM74:AM76)</f>
        <v>1500</v>
      </c>
      <c r="AN77" s="206">
        <f>+SUM(AJ77:AM77)</f>
        <v>6125</v>
      </c>
    </row>
    <row r="78" spans="2:40" ht="12" thickBot="1" x14ac:dyDescent="0.25">
      <c r="AB78" s="169" t="s">
        <v>204</v>
      </c>
      <c r="AC78" s="158">
        <f>+AC44</f>
        <v>200</v>
      </c>
      <c r="AD78" s="158">
        <f>+AD44</f>
        <v>1860</v>
      </c>
      <c r="AE78" s="158">
        <f>+AE44</f>
        <v>1240</v>
      </c>
      <c r="AF78" s="158">
        <f>+AF44</f>
        <v>2425</v>
      </c>
      <c r="AG78" s="194">
        <f>+SUM(AC78:AF78)</f>
        <v>5725</v>
      </c>
      <c r="AI78" s="169" t="s">
        <v>204</v>
      </c>
      <c r="AJ78" s="158">
        <f>+AJ44</f>
        <v>3950</v>
      </c>
      <c r="AK78" s="158">
        <f>+AK44</f>
        <v>4175</v>
      </c>
      <c r="AL78" s="158">
        <f>+AL44</f>
        <v>3000</v>
      </c>
      <c r="AM78" s="158">
        <f>+AM44</f>
        <v>3000</v>
      </c>
      <c r="AN78" s="194">
        <f>+SUM(AJ78:AM78)</f>
        <v>14125</v>
      </c>
    </row>
    <row r="150" spans="4:17" x14ac:dyDescent="0.2">
      <c r="D150" s="53">
        <v>8.0500000000000007</v>
      </c>
    </row>
    <row r="159" spans="4:17" x14ac:dyDescent="0.2">
      <c r="P159" s="53">
        <v>0.4</v>
      </c>
      <c r="Q159" s="53">
        <v>1.26</v>
      </c>
    </row>
  </sheetData>
  <mergeCells count="2">
    <mergeCell ref="C38:N38"/>
    <mergeCell ref="O38:Z38"/>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62FF5-171C-4DFF-80D2-16FADE6D9F53}">
  <dimension ref="B3:AA83"/>
  <sheetViews>
    <sheetView workbookViewId="0"/>
  </sheetViews>
  <sheetFormatPr defaultColWidth="8" defaultRowHeight="15" x14ac:dyDescent="0.25"/>
  <cols>
    <col min="1" max="1" width="4.140625" style="285" customWidth="1"/>
    <col min="2" max="2" width="37.7109375" style="285" bestFit="1" customWidth="1"/>
    <col min="3" max="3" width="12.42578125" style="285" customWidth="1"/>
    <col min="4" max="4" width="12.42578125" style="285" bestFit="1" customWidth="1"/>
    <col min="5" max="5" width="13.5703125" style="285" bestFit="1" customWidth="1"/>
    <col min="6" max="6" width="2.42578125" style="285" customWidth="1"/>
    <col min="7" max="8" width="8" style="285"/>
    <col min="9" max="9" width="26.42578125" style="285" bestFit="1" customWidth="1"/>
    <col min="10" max="10" width="10.85546875" style="285" bestFit="1" customWidth="1"/>
    <col min="11" max="11" width="10.85546875" style="285" customWidth="1"/>
    <col min="12" max="12" width="10.85546875" style="285" bestFit="1" customWidth="1"/>
    <col min="13" max="23" width="8" style="285"/>
    <col min="24" max="24" width="31.7109375" style="285" bestFit="1" customWidth="1"/>
    <col min="25" max="27" width="10.85546875" style="285" customWidth="1"/>
    <col min="28" max="16384" width="8" style="285"/>
  </cols>
  <sheetData>
    <row r="3" spans="2:27" ht="15.75" thickBot="1" x14ac:dyDescent="0.3"/>
    <row r="4" spans="2:27" x14ac:dyDescent="0.25">
      <c r="B4" s="300" t="s">
        <v>589</v>
      </c>
      <c r="C4" s="313" t="s">
        <v>275</v>
      </c>
      <c r="D4" s="313" t="s">
        <v>283</v>
      </c>
      <c r="E4" s="312" t="s">
        <v>363</v>
      </c>
      <c r="G4" s="325" t="s">
        <v>588</v>
      </c>
      <c r="X4" s="300" t="s">
        <v>587</v>
      </c>
      <c r="Y4" s="299" t="s">
        <v>275</v>
      </c>
      <c r="Z4" s="299" t="s">
        <v>283</v>
      </c>
      <c r="AA4" s="298" t="s">
        <v>363</v>
      </c>
    </row>
    <row r="5" spans="2:27" x14ac:dyDescent="0.25">
      <c r="B5" s="282" t="s">
        <v>561</v>
      </c>
      <c r="C5" s="254">
        <f>+'GB200 BoM'!C32</f>
        <v>2160000</v>
      </c>
      <c r="D5" s="254">
        <f>+'GB300 BoM'!C32</f>
        <v>2520000</v>
      </c>
      <c r="E5" s="322">
        <f>+'VR200 BoM '!C33</f>
        <v>3960000</v>
      </c>
      <c r="G5" s="321">
        <f t="shared" ref="G5:G17" si="0">+E5/D5-1</f>
        <v>0.5714285714285714</v>
      </c>
      <c r="X5" s="282" t="s">
        <v>586</v>
      </c>
      <c r="Y5" s="292">
        <f>+'GB200 BoM'!I10*(1-70%)*36</f>
        <v>12096.000000000002</v>
      </c>
      <c r="Z5" s="292">
        <f>+'GB300 BoM'!I10*(1-70%)*36</f>
        <v>12096.000000000002</v>
      </c>
      <c r="AA5" s="291">
        <f>+'VR200 BoM '!I10*(1-70%)*36</f>
        <v>16200</v>
      </c>
    </row>
    <row r="6" spans="2:27" x14ac:dyDescent="0.25">
      <c r="B6" s="282" t="s">
        <v>32</v>
      </c>
      <c r="C6" s="254">
        <f>5000*36</f>
        <v>180000</v>
      </c>
      <c r="D6" s="254">
        <f>5000*36</f>
        <v>180000</v>
      </c>
      <c r="E6" s="322">
        <f>+'VR200 BoM '!C34</f>
        <v>198000</v>
      </c>
      <c r="G6" s="321">
        <f t="shared" si="0"/>
        <v>0.10000000000000009</v>
      </c>
      <c r="X6" s="282" t="s">
        <v>585</v>
      </c>
      <c r="Y6" s="292">
        <f>+'GB200 BoM'!F14*18</f>
        <v>28800</v>
      </c>
      <c r="Z6" s="292">
        <f>+'GB300 BoM'!F15*18</f>
        <v>28800</v>
      </c>
      <c r="AA6" s="291">
        <f>+'VR200 BoM '!F16*18</f>
        <v>32400</v>
      </c>
    </row>
    <row r="7" spans="2:27" x14ac:dyDescent="0.25">
      <c r="B7" s="282" t="s">
        <v>514</v>
      </c>
      <c r="C7" s="254">
        <f>+'GB200 BoM'!C34</f>
        <v>64800</v>
      </c>
      <c r="D7" s="254">
        <f>+'GB300 BoM'!C34</f>
        <v>64800</v>
      </c>
      <c r="E7" s="322">
        <f>4000*4*9</f>
        <v>144000</v>
      </c>
      <c r="G7" s="321">
        <f t="shared" si="0"/>
        <v>1.2222222222222223</v>
      </c>
      <c r="X7" s="282" t="s">
        <v>584</v>
      </c>
      <c r="Y7" s="292">
        <f>+'GB200 BoM'!I23*9</f>
        <v>2475</v>
      </c>
      <c r="Z7" s="292">
        <f>+'GB300 BoM'!I23*9</f>
        <v>2475</v>
      </c>
      <c r="AA7" s="291">
        <f>+'VR200 BoM '!I24*9</f>
        <v>3150</v>
      </c>
    </row>
    <row r="8" spans="2:27" x14ac:dyDescent="0.25">
      <c r="B8" s="282" t="s">
        <v>583</v>
      </c>
      <c r="C8" s="254">
        <f>+('GB200 BoM'!F5+'GB200 BoM'!F6)*18</f>
        <v>162000</v>
      </c>
      <c r="D8" s="254">
        <f>+('GB300 BoM'!F5+'GB300 BoM'!F6)*18</f>
        <v>261000</v>
      </c>
      <c r="E8" s="322">
        <f>+('VR200 BoM '!F5+'VR200 BoM '!F6)*18</f>
        <v>576000</v>
      </c>
      <c r="G8" s="321">
        <f t="shared" si="0"/>
        <v>1.2068965517241379</v>
      </c>
      <c r="X8" s="282" t="s">
        <v>582</v>
      </c>
      <c r="Y8" s="292">
        <f>+'GB200 BoM'!F24*(1-70%)*9</f>
        <v>2700</v>
      </c>
      <c r="Z8" s="292">
        <f>+'GB300 BoM'!F26*(1-70%)*9</f>
        <v>2700</v>
      </c>
      <c r="AA8" s="291">
        <f>+'VR200 BoM '!F26*(1-70%)*9</f>
        <v>3150</v>
      </c>
    </row>
    <row r="9" spans="2:27" x14ac:dyDescent="0.25">
      <c r="B9" s="282" t="s">
        <v>441</v>
      </c>
      <c r="C9" s="254">
        <f>+'GB200 BoM'!C35</f>
        <v>232991.99999999997</v>
      </c>
      <c r="D9" s="254">
        <f>+'GB300 BoM'!C35</f>
        <v>373939.19999999995</v>
      </c>
      <c r="E9" s="322">
        <f>+'VR200 BoM '!C36</f>
        <v>2001599.9999999998</v>
      </c>
      <c r="G9" s="321">
        <f t="shared" si="0"/>
        <v>4.3527418361059764</v>
      </c>
      <c r="X9" s="282" t="s">
        <v>581</v>
      </c>
      <c r="Y9" s="292">
        <f>+C16</f>
        <v>25600</v>
      </c>
      <c r="Z9" s="292">
        <f>+D16</f>
        <v>22400</v>
      </c>
      <c r="AA9" s="291">
        <f>+E16</f>
        <v>28800</v>
      </c>
    </row>
    <row r="10" spans="2:27" x14ac:dyDescent="0.25">
      <c r="B10" s="282" t="s">
        <v>434</v>
      </c>
      <c r="C10" s="254">
        <f>+'GB200 BoM'!C39</f>
        <v>55790</v>
      </c>
      <c r="D10" s="254">
        <f>+'GB300 BoM'!C39</f>
        <v>64610</v>
      </c>
      <c r="E10" s="322">
        <f>+'VR200 BoM '!C40</f>
        <v>72080</v>
      </c>
      <c r="G10" s="321">
        <f t="shared" si="0"/>
        <v>0.11561677758860855</v>
      </c>
      <c r="X10" s="306" t="s">
        <v>580</v>
      </c>
      <c r="Y10" s="292">
        <f>65*18</f>
        <v>1170</v>
      </c>
      <c r="Z10" s="292">
        <f>65*18</f>
        <v>1170</v>
      </c>
      <c r="AA10" s="291">
        <f>65*18</f>
        <v>1170</v>
      </c>
    </row>
    <row r="11" spans="2:27" x14ac:dyDescent="0.25">
      <c r="B11" s="282" t="s">
        <v>432</v>
      </c>
      <c r="C11" s="254">
        <f>+'GB200 BoM'!C40</f>
        <v>36000</v>
      </c>
      <c r="D11" s="254">
        <f>+'GB300 BoM'!C40</f>
        <v>57600</v>
      </c>
      <c r="E11" s="322">
        <f>+'VR200 BoM '!C41</f>
        <v>76000</v>
      </c>
      <c r="G11" s="321">
        <f t="shared" si="0"/>
        <v>0.31944444444444442</v>
      </c>
      <c r="X11" s="306" t="s">
        <v>579</v>
      </c>
      <c r="Y11" s="292">
        <v>0</v>
      </c>
      <c r="Z11" s="292">
        <v>0</v>
      </c>
      <c r="AA11" s="291">
        <f>50*72</f>
        <v>3600</v>
      </c>
    </row>
    <row r="12" spans="2:27" x14ac:dyDescent="0.25">
      <c r="B12" s="282" t="s">
        <v>439</v>
      </c>
      <c r="C12" s="254">
        <f>+'GB200 BoM'!C36</f>
        <v>34200</v>
      </c>
      <c r="D12" s="254">
        <f>+'GB300 BoM'!C36</f>
        <v>35100</v>
      </c>
      <c r="E12" s="322">
        <f>+'VR200 BoM '!C37</f>
        <v>116730</v>
      </c>
      <c r="G12" s="321">
        <f t="shared" si="0"/>
        <v>2.3256410256410258</v>
      </c>
      <c r="X12" s="306" t="s">
        <v>578</v>
      </c>
      <c r="Y12" s="292">
        <f>35*90</f>
        <v>3150</v>
      </c>
      <c r="Z12" s="292">
        <f>35*90</f>
        <v>3150</v>
      </c>
      <c r="AA12" s="291">
        <f>35*36</f>
        <v>1260</v>
      </c>
    </row>
    <row r="13" spans="2:27" x14ac:dyDescent="0.25">
      <c r="B13" s="282" t="s">
        <v>142</v>
      </c>
      <c r="C13" s="254">
        <f>+'GB200 BoM'!C37</f>
        <v>11160</v>
      </c>
      <c r="D13" s="254">
        <f>+'GB300 BoM'!C37</f>
        <v>11160</v>
      </c>
      <c r="E13" s="322">
        <f>+'VR200 BoM '!C38</f>
        <v>20340</v>
      </c>
      <c r="G13" s="321">
        <f t="shared" si="0"/>
        <v>0.82258064516129026</v>
      </c>
      <c r="X13" s="306" t="s">
        <v>577</v>
      </c>
      <c r="Y13" s="324">
        <f>20%*C10</f>
        <v>11158</v>
      </c>
      <c r="Z13" s="324">
        <f>20%*D10</f>
        <v>12922</v>
      </c>
      <c r="AA13" s="323">
        <f>20%*E10</f>
        <v>14416</v>
      </c>
    </row>
    <row r="14" spans="2:27" x14ac:dyDescent="0.25">
      <c r="B14" s="282" t="s">
        <v>436</v>
      </c>
      <c r="C14" s="254">
        <f>+'GB200 BoM'!C38</f>
        <v>1710</v>
      </c>
      <c r="D14" s="254">
        <f>+'GB300 BoM'!C38</f>
        <v>1530</v>
      </c>
      <c r="E14" s="322">
        <f>+'VR200 BoM '!C39</f>
        <v>4320</v>
      </c>
      <c r="G14" s="321">
        <f t="shared" si="0"/>
        <v>1.8235294117647061</v>
      </c>
      <c r="X14" s="306" t="s">
        <v>189</v>
      </c>
      <c r="Y14" s="324">
        <v>18500</v>
      </c>
      <c r="Z14" s="324">
        <v>22500</v>
      </c>
      <c r="AA14" s="323">
        <v>45500</v>
      </c>
    </row>
    <row r="15" spans="2:27" ht="15.75" thickBot="1" x14ac:dyDescent="0.3">
      <c r="B15" s="282" t="s">
        <v>189</v>
      </c>
      <c r="C15" s="254">
        <f>+C17-C16-SUM(C5:C14)</f>
        <v>365270.66666666651</v>
      </c>
      <c r="D15" s="254">
        <f>+D17-D16-SUM(D5:D14)</f>
        <v>402411.66666666651</v>
      </c>
      <c r="E15" s="322">
        <f>+E17-E16-SUM(E5:E14)</f>
        <v>605277.66666666698</v>
      </c>
      <c r="G15" s="321">
        <f t="shared" si="0"/>
        <v>0.50412554307984903</v>
      </c>
      <c r="X15" s="290" t="s">
        <v>576</v>
      </c>
      <c r="Y15" s="289">
        <f>SUM(Y5:Y14)</f>
        <v>105649</v>
      </c>
      <c r="Z15" s="289">
        <f>SUM(Z5:Z14)</f>
        <v>108213</v>
      </c>
      <c r="AA15" s="288">
        <f>SUM(AA5:AA14)</f>
        <v>149646</v>
      </c>
    </row>
    <row r="16" spans="2:27" x14ac:dyDescent="0.25">
      <c r="B16" s="282" t="s">
        <v>371</v>
      </c>
      <c r="C16" s="254">
        <f>+'GB200 BoM'!C13</f>
        <v>25600</v>
      </c>
      <c r="D16" s="254">
        <f>+'GB300 BoM'!C13</f>
        <v>22400</v>
      </c>
      <c r="E16" s="322">
        <f>+'VR200 BoM '!C44</f>
        <v>28800</v>
      </c>
      <c r="G16" s="321">
        <f t="shared" si="0"/>
        <v>0.28571428571428581</v>
      </c>
      <c r="X16" s="320" t="s">
        <v>575</v>
      </c>
      <c r="Y16" s="319">
        <f>+Y15/C17</f>
        <v>3.1730974850449033E-2</v>
      </c>
      <c r="Z16" s="319">
        <f>+Z15/D17</f>
        <v>2.7090154465926358E-2</v>
      </c>
      <c r="AA16" s="319">
        <f>+AA15/E17</f>
        <v>1.9177645533898436E-2</v>
      </c>
    </row>
    <row r="17" spans="2:27" ht="15.75" thickBot="1" x14ac:dyDescent="0.3">
      <c r="B17" s="318" t="s">
        <v>204</v>
      </c>
      <c r="C17" s="317">
        <f>+'GB200 BoM'!C14</f>
        <v>3329522.6666666665</v>
      </c>
      <c r="D17" s="317">
        <f>+'GB300 BoM'!C14</f>
        <v>3994550.8666666667</v>
      </c>
      <c r="E17" s="316">
        <f>+'VR200 BoM '!C14</f>
        <v>7803147.666666667</v>
      </c>
      <c r="G17" s="315">
        <f t="shared" si="0"/>
        <v>0.95344806641006929</v>
      </c>
      <c r="X17" s="287" t="s">
        <v>547</v>
      </c>
      <c r="Y17" s="287"/>
      <c r="Z17" s="286">
        <f>+Z15/Y15-1</f>
        <v>2.426904182718248E-2</v>
      </c>
      <c r="AA17" s="286">
        <f>+AA15/Z15-1</f>
        <v>0.38288375703473698</v>
      </c>
    </row>
    <row r="18" spans="2:27" ht="15.75" thickBot="1" x14ac:dyDescent="0.3">
      <c r="B18" s="287" t="s">
        <v>547</v>
      </c>
      <c r="C18" s="287"/>
      <c r="D18" s="286">
        <f>+D17/C17-1</f>
        <v>0.19973679910874109</v>
      </c>
      <c r="E18" s="286">
        <f>+E17/D17-1</f>
        <v>0.95344806641006929</v>
      </c>
    </row>
    <row r="19" spans="2:27" x14ac:dyDescent="0.25">
      <c r="D19" s="311"/>
      <c r="X19" s="300" t="s">
        <v>574</v>
      </c>
      <c r="Y19" s="299" t="s">
        <v>275</v>
      </c>
      <c r="Z19" s="299" t="s">
        <v>283</v>
      </c>
      <c r="AA19" s="298" t="s">
        <v>363</v>
      </c>
    </row>
    <row r="20" spans="2:27" x14ac:dyDescent="0.25">
      <c r="B20" s="260" t="str">
        <f>+B4</f>
        <v>Nvidia NVL72 Bill of Materials</v>
      </c>
      <c r="C20" s="314" t="str">
        <f>+C4</f>
        <v>GB200</v>
      </c>
      <c r="D20" s="314" t="str">
        <f>+D4</f>
        <v>GB300</v>
      </c>
      <c r="E20" s="314" t="str">
        <f>+E4</f>
        <v>VR200</v>
      </c>
      <c r="X20" s="282" t="s">
        <v>554</v>
      </c>
      <c r="Y20" s="292">
        <f>+'GB200 BoM'!I8*30%</f>
        <v>650.00000000000011</v>
      </c>
      <c r="Z20" s="292">
        <f>+'GB300 BoM'!I8*30%</f>
        <v>650.00000000000011</v>
      </c>
      <c r="AA20" s="291">
        <f>+'VR200 BoM '!I8*30%</f>
        <v>1399.9999999999998</v>
      </c>
    </row>
    <row r="21" spans="2:27" x14ac:dyDescent="0.25">
      <c r="B21" s="253" t="str">
        <f t="shared" ref="B21:B30" si="1">+B5</f>
        <v>GPU</v>
      </c>
      <c r="C21" s="252">
        <f t="shared" ref="C21:E30" si="2">+C5/C$17</f>
        <v>0.64874164144449942</v>
      </c>
      <c r="D21" s="252">
        <f t="shared" si="2"/>
        <v>0.63085940925890993</v>
      </c>
      <c r="E21" s="252">
        <f t="shared" si="2"/>
        <v>0.50748751262471303</v>
      </c>
      <c r="X21" s="282" t="s">
        <v>553</v>
      </c>
      <c r="Y21" s="292">
        <f>+'GB200 BoM'!I21*30%</f>
        <v>699.99999999999989</v>
      </c>
      <c r="Z21" s="292">
        <f>+'GB300 BoM'!I21*30%</f>
        <v>799.99999999999977</v>
      </c>
      <c r="AA21" s="291">
        <f>+'VR200 BoM '!I22*30%</f>
        <v>1449.9999999999998</v>
      </c>
    </row>
    <row r="22" spans="2:27" x14ac:dyDescent="0.25">
      <c r="B22" s="253" t="str">
        <f t="shared" si="1"/>
        <v>CPU</v>
      </c>
      <c r="C22" s="252">
        <f t="shared" si="2"/>
        <v>5.4061803453708285E-2</v>
      </c>
      <c r="D22" s="252">
        <f t="shared" si="2"/>
        <v>4.506138637563642E-2</v>
      </c>
      <c r="E22" s="252">
        <f t="shared" si="2"/>
        <v>2.5374375631235652E-2</v>
      </c>
      <c r="X22" s="282" t="s">
        <v>398</v>
      </c>
      <c r="Y22" s="292">
        <v>0</v>
      </c>
      <c r="Z22" s="292">
        <v>0</v>
      </c>
      <c r="AA22" s="291">
        <f>+'VR200 BoM '!F8*0.75</f>
        <v>1500</v>
      </c>
    </row>
    <row r="23" spans="2:27" x14ac:dyDescent="0.25">
      <c r="B23" s="253" t="str">
        <f t="shared" si="1"/>
        <v>NVLink Switch chip</v>
      </c>
      <c r="C23" s="252">
        <f t="shared" si="2"/>
        <v>1.9462249243334982E-2</v>
      </c>
      <c r="D23" s="252">
        <f t="shared" si="2"/>
        <v>1.6222099095229113E-2</v>
      </c>
      <c r="E23" s="252">
        <f t="shared" si="2"/>
        <v>1.8454091368171381E-2</v>
      </c>
      <c r="X23" s="282" t="s">
        <v>573</v>
      </c>
      <c r="Y23" s="292">
        <v>0</v>
      </c>
      <c r="Z23" s="292">
        <v>0</v>
      </c>
      <c r="AA23" s="291">
        <f>+'VR200 BoM '!F30</f>
        <v>255</v>
      </c>
    </row>
    <row r="24" spans="2:27" x14ac:dyDescent="0.25">
      <c r="B24" s="253" t="str">
        <f t="shared" si="1"/>
        <v>Other networking chips</v>
      </c>
      <c r="C24" s="252">
        <f t="shared" si="2"/>
        <v>4.8655623108337452E-2</v>
      </c>
      <c r="D24" s="252">
        <f t="shared" si="2"/>
        <v>6.5339010244672813E-2</v>
      </c>
      <c r="E24" s="252">
        <f t="shared" si="2"/>
        <v>7.3816365472685525E-2</v>
      </c>
      <c r="X24" s="282" t="s">
        <v>572</v>
      </c>
      <c r="Y24" s="292">
        <v>0</v>
      </c>
      <c r="Z24" s="292">
        <v>0</v>
      </c>
      <c r="AA24" s="291">
        <f>+'VR200 BoM '!F31</f>
        <v>270</v>
      </c>
    </row>
    <row r="25" spans="2:27" x14ac:dyDescent="0.25">
      <c r="B25" s="253" t="str">
        <f t="shared" si="1"/>
        <v>Memory</v>
      </c>
      <c r="C25" s="252">
        <f t="shared" si="2"/>
        <v>6.9977598390479998E-2</v>
      </c>
      <c r="D25" s="252">
        <f t="shared" si="2"/>
        <v>9.3612326512202124E-2</v>
      </c>
      <c r="E25" s="252">
        <f t="shared" si="2"/>
        <v>0.25651187001758219</v>
      </c>
      <c r="X25" s="282" t="s">
        <v>550</v>
      </c>
      <c r="Y25" s="292">
        <f>+'GB200 BoM'!F28</f>
        <v>50</v>
      </c>
      <c r="Z25" s="292">
        <f>+'GB300 BoM'!F30</f>
        <v>50</v>
      </c>
      <c r="AA25" s="291">
        <f>+'VR200 BoM '!F32</f>
        <v>50</v>
      </c>
    </row>
    <row r="26" spans="2:27" x14ac:dyDescent="0.25">
      <c r="B26" s="253" t="str">
        <f t="shared" si="1"/>
        <v>Cooling</v>
      </c>
      <c r="C26" s="252">
        <f t="shared" si="2"/>
        <v>1.6756155637124362E-2</v>
      </c>
      <c r="D26" s="252">
        <f t="shared" si="2"/>
        <v>1.6174534298499275E-2</v>
      </c>
      <c r="E26" s="252">
        <f t="shared" si="2"/>
        <v>9.2372979570680084E-3</v>
      </c>
      <c r="X26" s="295" t="s">
        <v>571</v>
      </c>
      <c r="Y26" s="294" t="s">
        <v>275</v>
      </c>
      <c r="Z26" s="294" t="s">
        <v>283</v>
      </c>
      <c r="AA26" s="293" t="s">
        <v>363</v>
      </c>
    </row>
    <row r="27" spans="2:27" x14ac:dyDescent="0.25">
      <c r="B27" s="253" t="str">
        <f t="shared" si="1"/>
        <v>Power supply</v>
      </c>
      <c r="C27" s="252">
        <f t="shared" si="2"/>
        <v>1.0812360690741657E-2</v>
      </c>
      <c r="D27" s="252">
        <f t="shared" si="2"/>
        <v>1.4419643640203655E-2</v>
      </c>
      <c r="E27" s="252">
        <f t="shared" si="2"/>
        <v>9.739659333201563E-3</v>
      </c>
      <c r="X27" s="282" t="str">
        <f t="shared" ref="X27:X32" si="3">+X20</f>
        <v>Compute PCB</v>
      </c>
      <c r="Y27" s="297">
        <v>36</v>
      </c>
      <c r="Z27" s="297">
        <v>36</v>
      </c>
      <c r="AA27" s="296">
        <v>36</v>
      </c>
    </row>
    <row r="28" spans="2:27" x14ac:dyDescent="0.25">
      <c r="B28" s="253" t="str">
        <f t="shared" si="1"/>
        <v>PCB</v>
      </c>
      <c r="C28" s="252">
        <f t="shared" si="2"/>
        <v>1.0271742656204574E-2</v>
      </c>
      <c r="D28" s="252">
        <f t="shared" si="2"/>
        <v>8.7869703432491026E-3</v>
      </c>
      <c r="E28" s="252">
        <f t="shared" si="2"/>
        <v>1.4959347815323926E-2</v>
      </c>
      <c r="X28" s="282" t="str">
        <f t="shared" si="3"/>
        <v>Switch PCB</v>
      </c>
      <c r="Y28" s="297">
        <v>9</v>
      </c>
      <c r="Z28" s="297">
        <v>9</v>
      </c>
      <c r="AA28" s="296">
        <v>9</v>
      </c>
    </row>
    <row r="29" spans="2:27" x14ac:dyDescent="0.25">
      <c r="B29" s="253" t="str">
        <f t="shared" si="1"/>
        <v>ABF Substrate</v>
      </c>
      <c r="C29" s="252">
        <f t="shared" si="2"/>
        <v>3.3518318141299137E-3</v>
      </c>
      <c r="D29" s="252">
        <f t="shared" si="2"/>
        <v>2.7938059552894581E-3</v>
      </c>
      <c r="E29" s="252">
        <f t="shared" si="2"/>
        <v>2.6066404057542079E-3</v>
      </c>
      <c r="X29" s="282" t="str">
        <f t="shared" si="3"/>
        <v>Midplane PCB</v>
      </c>
      <c r="Y29" s="297">
        <v>0</v>
      </c>
      <c r="Z29" s="297">
        <v>0</v>
      </c>
      <c r="AA29" s="296">
        <v>18</v>
      </c>
    </row>
    <row r="30" spans="2:27" x14ac:dyDescent="0.25">
      <c r="B30" s="253" t="str">
        <f t="shared" si="1"/>
        <v>MLCC</v>
      </c>
      <c r="C30" s="252">
        <f t="shared" si="2"/>
        <v>5.1358713281022866E-4</v>
      </c>
      <c r="D30" s="252">
        <f t="shared" si="2"/>
        <v>3.830217841929096E-4</v>
      </c>
      <c r="E30" s="252">
        <f t="shared" si="2"/>
        <v>5.5362274104514152E-4</v>
      </c>
      <c r="X30" s="282" t="str">
        <f t="shared" si="3"/>
        <v>BlueField PCB</v>
      </c>
      <c r="Y30" s="297">
        <v>18</v>
      </c>
      <c r="Z30" s="297">
        <v>18</v>
      </c>
      <c r="AA30" s="296">
        <v>18</v>
      </c>
    </row>
    <row r="31" spans="2:27" x14ac:dyDescent="0.25">
      <c r="B31" s="253"/>
      <c r="C31" s="252"/>
      <c r="D31" s="252"/>
      <c r="E31" s="252"/>
      <c r="X31" s="282" t="str">
        <f t="shared" si="3"/>
        <v>ConnectX PCB</v>
      </c>
      <c r="Y31" s="297">
        <v>0</v>
      </c>
      <c r="Z31" s="297">
        <v>0</v>
      </c>
      <c r="AA31" s="296">
        <v>72</v>
      </c>
    </row>
    <row r="32" spans="2:27" x14ac:dyDescent="0.25">
      <c r="B32" s="253" t="str">
        <f>+B15</f>
        <v>Others</v>
      </c>
      <c r="C32" s="252">
        <f t="shared" ref="C32:E34" si="4">+C15/C$17</f>
        <v>0.10970661660410176</v>
      </c>
      <c r="D32" s="252">
        <f t="shared" si="4"/>
        <v>0.10074015329850262</v>
      </c>
      <c r="E32" s="252">
        <f t="shared" si="4"/>
        <v>7.7568398359585095E-2</v>
      </c>
      <c r="X32" s="282" t="str">
        <f t="shared" si="3"/>
        <v>Other peripheral PCB</v>
      </c>
      <c r="Y32" s="297">
        <v>90</v>
      </c>
      <c r="Z32" s="297">
        <v>90</v>
      </c>
      <c r="AA32" s="296">
        <v>45</v>
      </c>
    </row>
    <row r="33" spans="2:27" x14ac:dyDescent="0.25">
      <c r="B33" s="253" t="str">
        <f>+B16</f>
        <v>Rack assembly value add</v>
      </c>
      <c r="C33" s="252">
        <f t="shared" si="4"/>
        <v>7.6887898245274E-3</v>
      </c>
      <c r="D33" s="252">
        <f t="shared" si="4"/>
        <v>5.6076391934125327E-3</v>
      </c>
      <c r="E33" s="252">
        <f t="shared" si="4"/>
        <v>3.6908182736342765E-3</v>
      </c>
      <c r="X33" s="295" t="s">
        <v>565</v>
      </c>
      <c r="Y33" s="294" t="s">
        <v>275</v>
      </c>
      <c r="Z33" s="294" t="s">
        <v>283</v>
      </c>
      <c r="AA33" s="293" t="s">
        <v>363</v>
      </c>
    </row>
    <row r="34" spans="2:27" ht="15.75" thickBot="1" x14ac:dyDescent="0.3">
      <c r="B34" s="251" t="str">
        <f>+B17</f>
        <v>Total</v>
      </c>
      <c r="C34" s="250">
        <f t="shared" si="4"/>
        <v>1</v>
      </c>
      <c r="D34" s="250">
        <f t="shared" si="4"/>
        <v>1</v>
      </c>
      <c r="E34" s="250">
        <f t="shared" si="4"/>
        <v>1</v>
      </c>
      <c r="X34" s="282" t="str">
        <f t="shared" ref="X34:X39" si="5">+X20</f>
        <v>Compute PCB</v>
      </c>
      <c r="Y34" s="292">
        <f t="shared" ref="Y34:AA39" si="6">+Y20*Y27</f>
        <v>23400.000000000004</v>
      </c>
      <c r="Z34" s="292">
        <f t="shared" si="6"/>
        <v>23400.000000000004</v>
      </c>
      <c r="AA34" s="291">
        <f t="shared" si="6"/>
        <v>50399.999999999993</v>
      </c>
    </row>
    <row r="35" spans="2:27" ht="15.75" thickBot="1" x14ac:dyDescent="0.3">
      <c r="X35" s="282" t="str">
        <f t="shared" si="5"/>
        <v>Switch PCB</v>
      </c>
      <c r="Y35" s="292">
        <f t="shared" si="6"/>
        <v>6299.9999999999991</v>
      </c>
      <c r="Z35" s="292">
        <f t="shared" si="6"/>
        <v>7199.9999999999982</v>
      </c>
      <c r="AA35" s="291">
        <f t="shared" si="6"/>
        <v>13049.999999999998</v>
      </c>
    </row>
    <row r="36" spans="2:27" x14ac:dyDescent="0.25">
      <c r="B36" s="300" t="s">
        <v>570</v>
      </c>
      <c r="C36" s="313" t="str">
        <f>+C4</f>
        <v>GB200</v>
      </c>
      <c r="D36" s="313" t="str">
        <f>+D4</f>
        <v>GB300</v>
      </c>
      <c r="E36" s="312" t="str">
        <f>+E4</f>
        <v>VR200</v>
      </c>
      <c r="X36" s="282" t="str">
        <f t="shared" si="5"/>
        <v>Midplane PCB</v>
      </c>
      <c r="Y36" s="292">
        <f t="shared" si="6"/>
        <v>0</v>
      </c>
      <c r="Z36" s="292">
        <f t="shared" si="6"/>
        <v>0</v>
      </c>
      <c r="AA36" s="291">
        <f t="shared" si="6"/>
        <v>27000</v>
      </c>
    </row>
    <row r="37" spans="2:27" x14ac:dyDescent="0.25">
      <c r="B37" s="306" t="s">
        <v>569</v>
      </c>
      <c r="C37" s="311">
        <f>+C10-'GB200 BoM'!C7-'GB200 BoM'!C10</f>
        <v>41490</v>
      </c>
      <c r="D37" s="311">
        <f>+D10-'GB300 BoM'!C7-'GB300 BoM'!C10</f>
        <v>50310</v>
      </c>
      <c r="E37" s="310">
        <f>+E10-'VR200 BoM '!C7-'VR200 BoM '!C10</f>
        <v>57780</v>
      </c>
      <c r="X37" s="282" t="str">
        <f t="shared" si="5"/>
        <v>BlueField PCB</v>
      </c>
      <c r="Y37" s="292">
        <f t="shared" si="6"/>
        <v>0</v>
      </c>
      <c r="Z37" s="292">
        <f t="shared" si="6"/>
        <v>0</v>
      </c>
      <c r="AA37" s="291">
        <f t="shared" si="6"/>
        <v>4590</v>
      </c>
    </row>
    <row r="38" spans="2:27" x14ac:dyDescent="0.25">
      <c r="B38" s="306" t="s">
        <v>568</v>
      </c>
      <c r="C38" s="311">
        <f>+'GB200 BoM'!C7</f>
        <v>13500</v>
      </c>
      <c r="D38" s="311">
        <f>+'GB300 BoM'!C7</f>
        <v>13500</v>
      </c>
      <c r="E38" s="310">
        <f>+'VR200 BoM '!C7</f>
        <v>13500</v>
      </c>
      <c r="X38" s="282" t="str">
        <f t="shared" si="5"/>
        <v>ConnectX PCB</v>
      </c>
      <c r="Y38" s="292">
        <f t="shared" si="6"/>
        <v>0</v>
      </c>
      <c r="Z38" s="292">
        <f t="shared" si="6"/>
        <v>0</v>
      </c>
      <c r="AA38" s="291">
        <f t="shared" si="6"/>
        <v>19440</v>
      </c>
    </row>
    <row r="39" spans="2:27" x14ac:dyDescent="0.25">
      <c r="B39" s="306" t="s">
        <v>567</v>
      </c>
      <c r="C39" s="311">
        <f>+'GB200 BoM'!C10</f>
        <v>800</v>
      </c>
      <c r="D39" s="311">
        <f>+'GB300 BoM'!C10</f>
        <v>800</v>
      </c>
      <c r="E39" s="310">
        <f>+'VR200 BoM '!C10</f>
        <v>800</v>
      </c>
      <c r="X39" s="282" t="str">
        <f t="shared" si="5"/>
        <v>Other peripheral PCB</v>
      </c>
      <c r="Y39" s="292">
        <f t="shared" si="6"/>
        <v>4500</v>
      </c>
      <c r="Z39" s="292">
        <f t="shared" si="6"/>
        <v>4500</v>
      </c>
      <c r="AA39" s="291">
        <f t="shared" si="6"/>
        <v>2250</v>
      </c>
    </row>
    <row r="40" spans="2:27" ht="15.75" thickBot="1" x14ac:dyDescent="0.3">
      <c r="B40" s="309" t="s">
        <v>566</v>
      </c>
      <c r="C40" s="308">
        <f>SUM(C35:C39)</f>
        <v>55790</v>
      </c>
      <c r="D40" s="308">
        <f>SUM(D35:D39)</f>
        <v>64610</v>
      </c>
      <c r="E40" s="307">
        <f>SUM(E35:E39)</f>
        <v>72080</v>
      </c>
      <c r="X40" s="290" t="s">
        <v>565</v>
      </c>
      <c r="Y40" s="289">
        <f>+SUM(Y34:Y39)</f>
        <v>34200</v>
      </c>
      <c r="Z40" s="289">
        <f>+SUM(Z34:Z39)</f>
        <v>35100</v>
      </c>
      <c r="AA40" s="288">
        <f>+SUM(AA34:AA39)</f>
        <v>116730</v>
      </c>
    </row>
    <row r="41" spans="2:27" x14ac:dyDescent="0.25">
      <c r="B41" s="306" t="s">
        <v>564</v>
      </c>
      <c r="C41" s="305">
        <v>50000</v>
      </c>
      <c r="D41" s="305">
        <v>50000</v>
      </c>
      <c r="E41" s="304">
        <v>50000</v>
      </c>
      <c r="X41" s="287" t="s">
        <v>547</v>
      </c>
      <c r="Y41" s="287"/>
      <c r="Z41" s="286">
        <f>+Z40/Y40-1</f>
        <v>2.6315789473684292E-2</v>
      </c>
      <c r="AA41" s="286">
        <f>+AA40/Z40-1</f>
        <v>2.3256410256410258</v>
      </c>
    </row>
    <row r="42" spans="2:27" ht="15.75" thickBot="1" x14ac:dyDescent="0.3">
      <c r="B42" s="303" t="s">
        <v>563</v>
      </c>
      <c r="C42" s="302">
        <f>SUM(C37:C41)</f>
        <v>161580</v>
      </c>
      <c r="D42" s="302">
        <f>SUM(D40:D41)</f>
        <v>114610</v>
      </c>
      <c r="E42" s="301">
        <f>SUM(E37:E41)</f>
        <v>194160</v>
      </c>
    </row>
    <row r="43" spans="2:27" x14ac:dyDescent="0.25">
      <c r="X43" s="300" t="s">
        <v>562</v>
      </c>
      <c r="Y43" s="299" t="s">
        <v>275</v>
      </c>
      <c r="Z43" s="299" t="s">
        <v>283</v>
      </c>
      <c r="AA43" s="298" t="s">
        <v>363</v>
      </c>
    </row>
    <row r="44" spans="2:27" x14ac:dyDescent="0.25">
      <c r="X44" s="282" t="s">
        <v>561</v>
      </c>
      <c r="Y44" s="292">
        <v>100</v>
      </c>
      <c r="Z44" s="292">
        <v>100</v>
      </c>
      <c r="AA44" s="291">
        <v>200</v>
      </c>
    </row>
    <row r="45" spans="2:27" x14ac:dyDescent="0.25">
      <c r="X45" s="282" t="s">
        <v>32</v>
      </c>
      <c r="Y45" s="292">
        <v>50</v>
      </c>
      <c r="Z45" s="292">
        <v>50</v>
      </c>
      <c r="AA45" s="291">
        <v>60</v>
      </c>
    </row>
    <row r="46" spans="2:27" x14ac:dyDescent="0.25">
      <c r="X46" s="282" t="s">
        <v>560</v>
      </c>
      <c r="Y46" s="292">
        <v>30</v>
      </c>
      <c r="Z46" s="292">
        <v>30</v>
      </c>
      <c r="AA46" s="291">
        <v>30</v>
      </c>
    </row>
    <row r="47" spans="2:27" x14ac:dyDescent="0.25">
      <c r="X47" s="282" t="s">
        <v>559</v>
      </c>
      <c r="Y47" s="292">
        <v>30</v>
      </c>
      <c r="Z47" s="292">
        <v>30</v>
      </c>
      <c r="AA47" s="291">
        <v>30</v>
      </c>
    </row>
    <row r="48" spans="2:27" x14ac:dyDescent="0.25">
      <c r="X48" s="282" t="s">
        <v>558</v>
      </c>
      <c r="Y48" s="292">
        <v>30</v>
      </c>
      <c r="Z48" s="292">
        <v>30</v>
      </c>
      <c r="AA48" s="291">
        <v>30</v>
      </c>
    </row>
    <row r="49" spans="24:27" ht="12.75" customHeight="1" x14ac:dyDescent="0.25">
      <c r="X49" s="295" t="s">
        <v>557</v>
      </c>
      <c r="Y49" s="294" t="s">
        <v>275</v>
      </c>
      <c r="Z49" s="294" t="s">
        <v>283</v>
      </c>
      <c r="AA49" s="293" t="s">
        <v>363</v>
      </c>
    </row>
    <row r="50" spans="24:27" ht="12.75" customHeight="1" x14ac:dyDescent="0.25">
      <c r="X50" s="282" t="str">
        <f>+X44</f>
        <v>GPU</v>
      </c>
      <c r="Y50" s="297">
        <v>72</v>
      </c>
      <c r="Z50" s="297">
        <v>72</v>
      </c>
      <c r="AA50" s="296">
        <v>72</v>
      </c>
    </row>
    <row r="51" spans="24:27" ht="12.75" customHeight="1" x14ac:dyDescent="0.25">
      <c r="X51" s="282" t="str">
        <f>+X45</f>
        <v>CPU</v>
      </c>
      <c r="Y51" s="297">
        <v>36</v>
      </c>
      <c r="Z51" s="297">
        <v>36</v>
      </c>
      <c r="AA51" s="296">
        <v>36</v>
      </c>
    </row>
    <row r="52" spans="24:27" ht="12.75" customHeight="1" x14ac:dyDescent="0.25">
      <c r="X52" s="282" t="str">
        <f>+X46</f>
        <v>NVSwitch ASIC</v>
      </c>
      <c r="Y52" s="297">
        <f>2*9</f>
        <v>18</v>
      </c>
      <c r="Z52" s="297">
        <f>2*9</f>
        <v>18</v>
      </c>
      <c r="AA52" s="296">
        <f>4*9</f>
        <v>36</v>
      </c>
    </row>
    <row r="53" spans="24:27" ht="12.75" customHeight="1" x14ac:dyDescent="0.25">
      <c r="X53" s="282" t="str">
        <f>+X47</f>
        <v>BlueField DPU</v>
      </c>
      <c r="Y53" s="297">
        <f>1*18</f>
        <v>18</v>
      </c>
      <c r="Z53" s="297">
        <v>18</v>
      </c>
      <c r="AA53" s="296">
        <v>18</v>
      </c>
    </row>
    <row r="54" spans="24:27" ht="12.75" customHeight="1" x14ac:dyDescent="0.25">
      <c r="X54" s="282" t="str">
        <f>+X48</f>
        <v>ConnectX chip</v>
      </c>
      <c r="Y54" s="297">
        <f>2*18</f>
        <v>36</v>
      </c>
      <c r="Z54" s="297">
        <f>2*18</f>
        <v>36</v>
      </c>
      <c r="AA54" s="296">
        <f>4*18</f>
        <v>72</v>
      </c>
    </row>
    <row r="55" spans="24:27" ht="12.75" customHeight="1" x14ac:dyDescent="0.25">
      <c r="X55" s="295" t="s">
        <v>556</v>
      </c>
      <c r="Y55" s="294" t="s">
        <v>275</v>
      </c>
      <c r="Z55" s="294" t="s">
        <v>283</v>
      </c>
      <c r="AA55" s="293" t="s">
        <v>363</v>
      </c>
    </row>
    <row r="56" spans="24:27" ht="12.75" customHeight="1" x14ac:dyDescent="0.25">
      <c r="X56" s="282" t="str">
        <f>+X44</f>
        <v>GPU</v>
      </c>
      <c r="Y56" s="292">
        <f t="shared" ref="Y56:AA60" si="7">+Y44*Y50</f>
        <v>7200</v>
      </c>
      <c r="Z56" s="292">
        <f t="shared" si="7"/>
        <v>7200</v>
      </c>
      <c r="AA56" s="291">
        <f t="shared" si="7"/>
        <v>14400</v>
      </c>
    </row>
    <row r="57" spans="24:27" ht="12.75" customHeight="1" x14ac:dyDescent="0.25">
      <c r="X57" s="282" t="str">
        <f>+X45</f>
        <v>CPU</v>
      </c>
      <c r="Y57" s="292">
        <f t="shared" si="7"/>
        <v>1800</v>
      </c>
      <c r="Z57" s="292">
        <f t="shared" si="7"/>
        <v>1800</v>
      </c>
      <c r="AA57" s="291">
        <f t="shared" si="7"/>
        <v>2160</v>
      </c>
    </row>
    <row r="58" spans="24:27" ht="12.75" customHeight="1" x14ac:dyDescent="0.25">
      <c r="X58" s="282" t="str">
        <f>+X46</f>
        <v>NVSwitch ASIC</v>
      </c>
      <c r="Y58" s="292">
        <f t="shared" si="7"/>
        <v>540</v>
      </c>
      <c r="Z58" s="292">
        <f t="shared" si="7"/>
        <v>540</v>
      </c>
      <c r="AA58" s="291">
        <f t="shared" si="7"/>
        <v>1080</v>
      </c>
    </row>
    <row r="59" spans="24:27" ht="12.75" customHeight="1" x14ac:dyDescent="0.25">
      <c r="X59" s="282" t="str">
        <f>+X47</f>
        <v>BlueField DPU</v>
      </c>
      <c r="Y59" s="292">
        <f t="shared" si="7"/>
        <v>540</v>
      </c>
      <c r="Z59" s="292">
        <f t="shared" si="7"/>
        <v>540</v>
      </c>
      <c r="AA59" s="291">
        <f t="shared" si="7"/>
        <v>540</v>
      </c>
    </row>
    <row r="60" spans="24:27" ht="12.75" customHeight="1" x14ac:dyDescent="0.25">
      <c r="X60" s="282" t="str">
        <f>+X48</f>
        <v>ConnectX chip</v>
      </c>
      <c r="Y60" s="292">
        <f t="shared" si="7"/>
        <v>1080</v>
      </c>
      <c r="Z60" s="292">
        <f t="shared" si="7"/>
        <v>1080</v>
      </c>
      <c r="AA60" s="291">
        <f t="shared" si="7"/>
        <v>2160</v>
      </c>
    </row>
    <row r="61" spans="24:27" ht="12.75" customHeight="1" thickBot="1" x14ac:dyDescent="0.3">
      <c r="X61" s="290" t="s">
        <v>556</v>
      </c>
      <c r="Y61" s="289">
        <f>+SUM(Y56:Y60)</f>
        <v>11160</v>
      </c>
      <c r="Z61" s="289">
        <f>+SUM(Z56:Z60)</f>
        <v>11160</v>
      </c>
      <c r="AA61" s="288">
        <f>+SUM(AA56:AA60)</f>
        <v>20340</v>
      </c>
    </row>
    <row r="62" spans="24:27" ht="12.75" customHeight="1" x14ac:dyDescent="0.25">
      <c r="X62" s="287" t="s">
        <v>547</v>
      </c>
      <c r="Y62" s="287"/>
      <c r="Z62" s="286">
        <f>+Z61/Y61-1</f>
        <v>0</v>
      </c>
      <c r="AA62" s="286">
        <f>+AA61/Z61-1</f>
        <v>0.82258064516129026</v>
      </c>
    </row>
    <row r="63" spans="24:27" ht="12.75" customHeight="1" thickBot="1" x14ac:dyDescent="0.3"/>
    <row r="64" spans="24:27" ht="12.75" customHeight="1" x14ac:dyDescent="0.25">
      <c r="X64" s="300" t="s">
        <v>555</v>
      </c>
      <c r="Y64" s="299" t="s">
        <v>275</v>
      </c>
      <c r="Z64" s="299" t="s">
        <v>283</v>
      </c>
      <c r="AA64" s="298" t="s">
        <v>363</v>
      </c>
    </row>
    <row r="65" spans="24:27" ht="12.75" customHeight="1" x14ac:dyDescent="0.25">
      <c r="X65" s="282" t="s">
        <v>554</v>
      </c>
      <c r="Y65" s="292">
        <v>30</v>
      </c>
      <c r="Z65" s="292">
        <v>25</v>
      </c>
      <c r="AA65" s="291">
        <v>90</v>
      </c>
    </row>
    <row r="66" spans="24:27" ht="12.75" customHeight="1" x14ac:dyDescent="0.25">
      <c r="X66" s="282" t="s">
        <v>553</v>
      </c>
      <c r="Y66" s="292">
        <v>20</v>
      </c>
      <c r="Z66" s="292">
        <v>20</v>
      </c>
      <c r="AA66" s="291">
        <v>45</v>
      </c>
    </row>
    <row r="67" spans="24:27" ht="12.75" customHeight="1" x14ac:dyDescent="0.25">
      <c r="X67" s="282" t="s">
        <v>552</v>
      </c>
      <c r="Y67" s="292">
        <v>15</v>
      </c>
      <c r="Z67" s="292">
        <v>5</v>
      </c>
      <c r="AA67" s="291">
        <v>5</v>
      </c>
    </row>
    <row r="68" spans="24:27" ht="12.75" customHeight="1" x14ac:dyDescent="0.25">
      <c r="X68" s="282" t="s">
        <v>551</v>
      </c>
      <c r="Y68" s="292">
        <v>15</v>
      </c>
      <c r="Z68" s="292">
        <v>5</v>
      </c>
      <c r="AA68" s="291">
        <v>5</v>
      </c>
    </row>
    <row r="69" spans="24:27" ht="12.75" customHeight="1" x14ac:dyDescent="0.25">
      <c r="X69" s="282" t="s">
        <v>550</v>
      </c>
      <c r="Y69" s="292">
        <v>10</v>
      </c>
      <c r="Z69" s="292">
        <v>5</v>
      </c>
      <c r="AA69" s="291">
        <v>5</v>
      </c>
    </row>
    <row r="70" spans="24:27" ht="12.75" customHeight="1" x14ac:dyDescent="0.25">
      <c r="X70" s="295" t="s">
        <v>549</v>
      </c>
      <c r="Y70" s="294" t="s">
        <v>275</v>
      </c>
      <c r="Z70" s="294" t="s">
        <v>283</v>
      </c>
      <c r="AA70" s="293" t="s">
        <v>363</v>
      </c>
    </row>
    <row r="71" spans="24:27" ht="12.75" customHeight="1" x14ac:dyDescent="0.25">
      <c r="X71" s="282" t="str">
        <f>+X65</f>
        <v>Compute PCB</v>
      </c>
      <c r="Y71" s="297">
        <v>36</v>
      </c>
      <c r="Z71" s="297">
        <v>36</v>
      </c>
      <c r="AA71" s="296">
        <v>36</v>
      </c>
    </row>
    <row r="72" spans="24:27" ht="12.75" customHeight="1" x14ac:dyDescent="0.25">
      <c r="X72" s="282" t="str">
        <f>+X66</f>
        <v>Switch PCB</v>
      </c>
      <c r="Y72" s="297">
        <v>9</v>
      </c>
      <c r="Z72" s="297">
        <v>9</v>
      </c>
      <c r="AA72" s="296">
        <v>9</v>
      </c>
    </row>
    <row r="73" spans="24:27" ht="12.75" customHeight="1" x14ac:dyDescent="0.25">
      <c r="X73" s="282" t="str">
        <f>+X67</f>
        <v>BlueField DPU Module</v>
      </c>
      <c r="Y73" s="297">
        <v>0</v>
      </c>
      <c r="Z73" s="297">
        <v>0</v>
      </c>
      <c r="AA73" s="296">
        <v>18</v>
      </c>
    </row>
    <row r="74" spans="24:27" ht="12.75" customHeight="1" x14ac:dyDescent="0.25">
      <c r="X74" s="282" t="str">
        <f>+X68</f>
        <v>ConnectX Orchid Module</v>
      </c>
      <c r="Y74" s="297">
        <v>0</v>
      </c>
      <c r="Z74" s="297">
        <v>0</v>
      </c>
      <c r="AA74" s="296">
        <v>72</v>
      </c>
    </row>
    <row r="75" spans="24:27" ht="12.75" customHeight="1" x14ac:dyDescent="0.25">
      <c r="X75" s="282" t="str">
        <f>+X69</f>
        <v>Other peripheral PCB</v>
      </c>
      <c r="Y75" s="297">
        <v>90</v>
      </c>
      <c r="Z75" s="297">
        <v>90</v>
      </c>
      <c r="AA75" s="296">
        <v>45</v>
      </c>
    </row>
    <row r="76" spans="24:27" ht="12.75" customHeight="1" x14ac:dyDescent="0.25">
      <c r="X76" s="295" t="s">
        <v>548</v>
      </c>
      <c r="Y76" s="294" t="s">
        <v>275</v>
      </c>
      <c r="Z76" s="294" t="s">
        <v>283</v>
      </c>
      <c r="AA76" s="293" t="s">
        <v>363</v>
      </c>
    </row>
    <row r="77" spans="24:27" ht="12.75" customHeight="1" x14ac:dyDescent="0.25">
      <c r="X77" s="282" t="str">
        <f>+X65</f>
        <v>Compute PCB</v>
      </c>
      <c r="Y77" s="292">
        <f t="shared" ref="Y77:AA81" si="8">+Y65*Y71</f>
        <v>1080</v>
      </c>
      <c r="Z77" s="292">
        <f t="shared" si="8"/>
        <v>900</v>
      </c>
      <c r="AA77" s="291">
        <f t="shared" si="8"/>
        <v>3240</v>
      </c>
    </row>
    <row r="78" spans="24:27" x14ac:dyDescent="0.25">
      <c r="X78" s="282" t="str">
        <f>+X66</f>
        <v>Switch PCB</v>
      </c>
      <c r="Y78" s="292">
        <f t="shared" si="8"/>
        <v>180</v>
      </c>
      <c r="Z78" s="292">
        <f t="shared" si="8"/>
        <v>180</v>
      </c>
      <c r="AA78" s="291">
        <f t="shared" si="8"/>
        <v>405</v>
      </c>
    </row>
    <row r="79" spans="24:27" x14ac:dyDescent="0.25">
      <c r="X79" s="282" t="str">
        <f>+X67</f>
        <v>BlueField DPU Module</v>
      </c>
      <c r="Y79" s="292">
        <f t="shared" si="8"/>
        <v>0</v>
      </c>
      <c r="Z79" s="292">
        <f t="shared" si="8"/>
        <v>0</v>
      </c>
      <c r="AA79" s="291">
        <f t="shared" si="8"/>
        <v>90</v>
      </c>
    </row>
    <row r="80" spans="24:27" x14ac:dyDescent="0.25">
      <c r="X80" s="282" t="str">
        <f>+X68</f>
        <v>ConnectX Orchid Module</v>
      </c>
      <c r="Y80" s="292">
        <f t="shared" si="8"/>
        <v>0</v>
      </c>
      <c r="Z80" s="292">
        <f t="shared" si="8"/>
        <v>0</v>
      </c>
      <c r="AA80" s="291">
        <f t="shared" si="8"/>
        <v>360</v>
      </c>
    </row>
    <row r="81" spans="24:27" x14ac:dyDescent="0.25">
      <c r="X81" s="282" t="str">
        <f>+X69</f>
        <v>Other peripheral PCB</v>
      </c>
      <c r="Y81" s="292">
        <f t="shared" si="8"/>
        <v>900</v>
      </c>
      <c r="Z81" s="292">
        <f t="shared" si="8"/>
        <v>450</v>
      </c>
      <c r="AA81" s="291">
        <f t="shared" si="8"/>
        <v>225</v>
      </c>
    </row>
    <row r="82" spans="24:27" ht="15.75" thickBot="1" x14ac:dyDescent="0.3">
      <c r="X82" s="290" t="s">
        <v>548</v>
      </c>
      <c r="Y82" s="289">
        <f>+SUM(Y77:Y81)</f>
        <v>2160</v>
      </c>
      <c r="Z82" s="289">
        <f>+SUM(Z77:Z81)</f>
        <v>1530</v>
      </c>
      <c r="AA82" s="288">
        <f>+SUM(AA77:AA81)</f>
        <v>4320</v>
      </c>
    </row>
    <row r="83" spans="24:27" x14ac:dyDescent="0.25">
      <c r="X83" s="287" t="s">
        <v>547</v>
      </c>
      <c r="Y83" s="287"/>
      <c r="Z83" s="286">
        <f>+Z82/Y82-1</f>
        <v>-0.29166666666666663</v>
      </c>
      <c r="AA83" s="286">
        <f>+AA82/Z82-1</f>
        <v>1.8235294117647061</v>
      </c>
    </row>
  </sheetData>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0D06-38E5-4D2A-8A10-9D6C9F5155EB}">
  <dimension ref="B2:V60"/>
  <sheetViews>
    <sheetView zoomScaleNormal="100" workbookViewId="0"/>
  </sheetViews>
  <sheetFormatPr defaultColWidth="8" defaultRowHeight="15" x14ac:dyDescent="0.25"/>
  <cols>
    <col min="1" max="1" width="3" style="249" customWidth="1"/>
    <col min="2" max="2" width="30" style="249" bestFit="1" customWidth="1"/>
    <col min="3" max="3" width="12" style="249" bestFit="1" customWidth="1"/>
    <col min="4" max="4" width="7.5703125" style="249" customWidth="1"/>
    <col min="5" max="5" width="42.85546875" style="249" bestFit="1" customWidth="1"/>
    <col min="6" max="6" width="9.28515625" style="249" bestFit="1" customWidth="1"/>
    <col min="7" max="7" width="7.5703125" style="249" customWidth="1"/>
    <col min="8" max="8" width="34.42578125" style="249" bestFit="1" customWidth="1"/>
    <col min="9" max="9" width="10.140625" style="249" bestFit="1" customWidth="1"/>
    <col min="10" max="10" width="7.5703125" style="249" customWidth="1"/>
    <col min="11" max="11" width="42.28515625" style="249" bestFit="1" customWidth="1"/>
    <col min="12" max="12" width="8.7109375" style="249" customWidth="1"/>
    <col min="13" max="13" width="3.7109375" style="249" customWidth="1"/>
    <col min="14" max="15" width="8" style="249"/>
    <col min="16" max="16" width="8.7109375" style="249" bestFit="1" customWidth="1"/>
    <col min="17" max="18" width="8" style="249"/>
    <col min="19" max="19" width="41.28515625" style="249" bestFit="1" customWidth="1"/>
    <col min="20" max="20" width="9.7109375" style="249" bestFit="1" customWidth="1"/>
    <col min="21" max="21" width="12" style="249" bestFit="1" customWidth="1"/>
    <col min="22" max="22" width="10.7109375" style="249" bestFit="1" customWidth="1"/>
    <col min="23" max="16384" width="8" style="249"/>
  </cols>
  <sheetData>
    <row r="2" spans="2:21" ht="27" thickBot="1" x14ac:dyDescent="0.45">
      <c r="B2" s="269" t="s">
        <v>387</v>
      </c>
    </row>
    <row r="3" spans="2:21" x14ac:dyDescent="0.25">
      <c r="B3" s="260" t="s">
        <v>511</v>
      </c>
      <c r="C3" s="259"/>
      <c r="E3" s="265" t="s">
        <v>510</v>
      </c>
      <c r="F3" s="270">
        <f>SUM(F4:F17)</f>
        <v>407228</v>
      </c>
      <c r="O3" s="284"/>
      <c r="P3" s="283" t="s">
        <v>509</v>
      </c>
    </row>
    <row r="4" spans="2:21" x14ac:dyDescent="0.25">
      <c r="B4" s="253" t="s">
        <v>508</v>
      </c>
      <c r="C4" s="254">
        <f>+F3*18</f>
        <v>7330104</v>
      </c>
      <c r="D4" s="275"/>
      <c r="E4" s="272" t="s">
        <v>507</v>
      </c>
      <c r="F4" s="254">
        <f>+I4*2</f>
        <v>343039.33333333331</v>
      </c>
      <c r="G4" s="275"/>
      <c r="H4" s="265" t="s">
        <v>506</v>
      </c>
      <c r="I4" s="270">
        <f>+SUM(I5:I11)</f>
        <v>171519.66666666666</v>
      </c>
      <c r="J4" s="275"/>
      <c r="K4" s="275"/>
      <c r="L4" s="275"/>
      <c r="O4" s="282" t="s">
        <v>505</v>
      </c>
      <c r="P4" s="281">
        <v>41</v>
      </c>
    </row>
    <row r="5" spans="2:21" ht="15.75" thickBot="1" x14ac:dyDescent="0.3">
      <c r="B5" s="253" t="s">
        <v>504</v>
      </c>
      <c r="C5" s="254">
        <f>+F19*9</f>
        <v>239277</v>
      </c>
      <c r="D5" s="275"/>
      <c r="E5" s="272" t="s">
        <v>503</v>
      </c>
      <c r="F5" s="254">
        <v>10000</v>
      </c>
      <c r="G5" s="275"/>
      <c r="H5" s="253" t="s">
        <v>502</v>
      </c>
      <c r="I5" s="254">
        <v>5500</v>
      </c>
      <c r="J5" s="275"/>
      <c r="K5" s="265" t="s">
        <v>501</v>
      </c>
      <c r="L5" s="275"/>
      <c r="M5" s="275"/>
      <c r="O5" s="280" t="s">
        <v>500</v>
      </c>
      <c r="P5" s="279">
        <v>85</v>
      </c>
      <c r="S5" s="265" t="s">
        <v>499</v>
      </c>
      <c r="T5" s="265" t="s">
        <v>368</v>
      </c>
      <c r="U5" s="265" t="s">
        <v>444</v>
      </c>
    </row>
    <row r="6" spans="2:21" x14ac:dyDescent="0.25">
      <c r="B6" s="253" t="s">
        <v>498</v>
      </c>
      <c r="C6" s="254">
        <v>3000</v>
      </c>
      <c r="D6" s="275"/>
      <c r="E6" s="272" t="s">
        <v>497</v>
      </c>
      <c r="F6" s="254">
        <f>5500*4</f>
        <v>22000</v>
      </c>
      <c r="G6" s="275"/>
      <c r="H6" s="253" t="s">
        <v>496</v>
      </c>
      <c r="I6" s="254">
        <f>+K6*2</f>
        <v>110000</v>
      </c>
      <c r="J6" s="275"/>
      <c r="K6" s="254">
        <v>55000</v>
      </c>
      <c r="L6" s="275"/>
      <c r="M6" s="275"/>
      <c r="S6" s="249" t="s">
        <v>426</v>
      </c>
      <c r="T6" s="254">
        <v>25</v>
      </c>
      <c r="U6" s="254">
        <f>+T6*36</f>
        <v>900</v>
      </c>
    </row>
    <row r="7" spans="2:21" x14ac:dyDescent="0.25">
      <c r="B7" s="253" t="s">
        <v>370</v>
      </c>
      <c r="C7" s="254">
        <v>13500</v>
      </c>
      <c r="D7" s="275"/>
      <c r="E7" s="272" t="s">
        <v>495</v>
      </c>
      <c r="F7" s="254">
        <f>+T29+(T28*4)</f>
        <v>23072</v>
      </c>
      <c r="G7" s="275"/>
      <c r="H7" s="253" t="s">
        <v>473</v>
      </c>
      <c r="I7" s="254">
        <f>400</f>
        <v>400</v>
      </c>
      <c r="J7" s="275"/>
      <c r="M7" s="275"/>
      <c r="O7" s="249" t="s">
        <v>283</v>
      </c>
      <c r="P7" s="249">
        <v>71</v>
      </c>
      <c r="S7" s="249" t="s">
        <v>494</v>
      </c>
      <c r="T7" s="254">
        <v>1250</v>
      </c>
      <c r="U7" s="254">
        <f>+T7*1</f>
        <v>1250</v>
      </c>
    </row>
    <row r="8" spans="2:21" x14ac:dyDescent="0.25">
      <c r="B8" s="253" t="s">
        <v>432</v>
      </c>
      <c r="C8" s="254">
        <v>76000</v>
      </c>
      <c r="D8" s="275"/>
      <c r="E8" s="272" t="s">
        <v>398</v>
      </c>
      <c r="F8" s="254">
        <v>2000</v>
      </c>
      <c r="G8" s="275"/>
      <c r="H8" s="253" t="s">
        <v>493</v>
      </c>
      <c r="I8" s="254">
        <f>1400/(1-70%)</f>
        <v>4666.6666666666661</v>
      </c>
      <c r="J8" s="275"/>
      <c r="M8" s="275"/>
      <c r="O8" s="249" t="s">
        <v>363</v>
      </c>
      <c r="P8" s="249">
        <v>80</v>
      </c>
      <c r="S8" s="249" t="s">
        <v>492</v>
      </c>
      <c r="T8" s="254">
        <v>150</v>
      </c>
      <c r="U8" s="254">
        <f>+T8*1</f>
        <v>150</v>
      </c>
    </row>
    <row r="9" spans="2:21" x14ac:dyDescent="0.25">
      <c r="B9" s="253" t="s">
        <v>491</v>
      </c>
      <c r="C9" s="254">
        <f>2000*2</f>
        <v>4000</v>
      </c>
      <c r="D9" s="275"/>
      <c r="E9" s="272" t="s">
        <v>446</v>
      </c>
      <c r="F9" s="254">
        <f>+V35</f>
        <v>2066.6666666666665</v>
      </c>
      <c r="G9" s="275"/>
      <c r="H9" s="249" t="s">
        <v>490</v>
      </c>
      <c r="I9" s="254">
        <f>(T26*8)/(1-70%)</f>
        <v>43519.999999999993</v>
      </c>
      <c r="J9" s="275"/>
      <c r="M9" s="275"/>
      <c r="S9" s="264" t="s">
        <v>204</v>
      </c>
      <c r="U9" s="262">
        <f>SUM(U6:U8)</f>
        <v>2300</v>
      </c>
    </row>
    <row r="10" spans="2:21" x14ac:dyDescent="0.25">
      <c r="B10" s="253" t="s">
        <v>489</v>
      </c>
      <c r="C10" s="254">
        <v>800</v>
      </c>
      <c r="D10" s="275"/>
      <c r="E10" s="272" t="s">
        <v>488</v>
      </c>
      <c r="F10" s="254">
        <f>20*20</f>
        <v>400</v>
      </c>
      <c r="G10" s="275"/>
      <c r="H10" s="253" t="s">
        <v>470</v>
      </c>
      <c r="I10" s="254">
        <f>450/(1-70%)</f>
        <v>1499.9999999999998</v>
      </c>
      <c r="J10" s="275"/>
      <c r="S10" s="249" t="s">
        <v>487</v>
      </c>
      <c r="U10" s="278">
        <v>0.7</v>
      </c>
    </row>
    <row r="11" spans="2:21" x14ac:dyDescent="0.25">
      <c r="B11" s="253" t="s">
        <v>483</v>
      </c>
      <c r="C11" s="254">
        <f>+U12</f>
        <v>30666.666666666661</v>
      </c>
      <c r="D11" s="275"/>
      <c r="E11" s="272" t="s">
        <v>486</v>
      </c>
      <c r="F11" s="254">
        <v>1000</v>
      </c>
      <c r="G11" s="275"/>
      <c r="H11" s="253" t="s">
        <v>189</v>
      </c>
      <c r="I11" s="254">
        <f>5000+933</f>
        <v>5933</v>
      </c>
      <c r="S11" s="249" t="s">
        <v>485</v>
      </c>
      <c r="U11" s="262">
        <f>+U9/(1-U10)</f>
        <v>7666.6666666666652</v>
      </c>
    </row>
    <row r="12" spans="2:21" x14ac:dyDescent="0.25">
      <c r="B12" s="253" t="s">
        <v>189</v>
      </c>
      <c r="C12" s="254">
        <v>77000</v>
      </c>
      <c r="D12" s="275"/>
      <c r="E12" s="272" t="s">
        <v>484</v>
      </c>
      <c r="F12" s="254">
        <f>150*3</f>
        <v>450</v>
      </c>
      <c r="S12" s="277" t="s">
        <v>483</v>
      </c>
      <c r="T12" s="267"/>
      <c r="U12" s="256">
        <f>+U11*4</f>
        <v>30666.666666666661</v>
      </c>
    </row>
    <row r="13" spans="2:21" x14ac:dyDescent="0.25">
      <c r="B13" s="274" t="s">
        <v>482</v>
      </c>
      <c r="C13" s="276">
        <v>28800</v>
      </c>
      <c r="D13" s="275"/>
      <c r="E13" s="272" t="s">
        <v>481</v>
      </c>
      <c r="F13" s="254">
        <f>50*2</f>
        <v>100</v>
      </c>
      <c r="G13" s="275"/>
      <c r="J13" s="275"/>
    </row>
    <row r="14" spans="2:21" ht="15.75" thickBot="1" x14ac:dyDescent="0.3">
      <c r="B14" s="251" t="s">
        <v>204</v>
      </c>
      <c r="C14" s="261">
        <f>+SUM(C4:C13)</f>
        <v>7803147.666666667</v>
      </c>
      <c r="D14" s="275"/>
      <c r="E14" s="272" t="s">
        <v>479</v>
      </c>
      <c r="F14" s="254">
        <v>250</v>
      </c>
      <c r="G14" s="275"/>
      <c r="H14" s="253"/>
      <c r="I14" s="254"/>
      <c r="J14" s="275"/>
      <c r="M14" s="275"/>
    </row>
    <row r="15" spans="2:21" x14ac:dyDescent="0.25">
      <c r="D15" s="275"/>
      <c r="E15" s="272" t="s">
        <v>472</v>
      </c>
      <c r="F15" s="254">
        <v>50</v>
      </c>
      <c r="G15" s="275"/>
      <c r="H15" s="253"/>
      <c r="I15" s="254"/>
      <c r="J15" s="275"/>
    </row>
    <row r="16" spans="2:21" x14ac:dyDescent="0.25">
      <c r="B16" s="260" t="str">
        <f t="shared" ref="B16:B27" si="0">+B3</f>
        <v>VR200 NVL72 Bill of materials (US$)</v>
      </c>
      <c r="C16" s="259"/>
      <c r="D16" s="275"/>
      <c r="E16" s="272" t="s">
        <v>470</v>
      </c>
      <c r="F16" s="254">
        <v>1800</v>
      </c>
      <c r="G16" s="275"/>
      <c r="H16" s="253"/>
      <c r="I16" s="254"/>
      <c r="J16" s="275"/>
    </row>
    <row r="17" spans="2:21" x14ac:dyDescent="0.25">
      <c r="B17" s="253" t="str">
        <f t="shared" si="0"/>
        <v>18x Compute Tray</v>
      </c>
      <c r="C17" s="252">
        <f t="shared" ref="C17:C26" si="1">+C4/C$14</f>
        <v>0.93937783995971191</v>
      </c>
      <c r="D17" s="275"/>
      <c r="E17" s="272" t="s">
        <v>189</v>
      </c>
      <c r="F17" s="254">
        <v>1000</v>
      </c>
      <c r="G17" s="275"/>
      <c r="H17" s="253"/>
      <c r="I17" s="254"/>
      <c r="J17" s="275"/>
    </row>
    <row r="18" spans="2:21" x14ac:dyDescent="0.25">
      <c r="B18" s="253" t="str">
        <f t="shared" si="0"/>
        <v>9x Switch Tray</v>
      </c>
      <c r="C18" s="252">
        <f t="shared" si="1"/>
        <v>3.066416402987461E-2</v>
      </c>
      <c r="D18" s="275"/>
      <c r="G18" s="275"/>
      <c r="M18" s="254"/>
    </row>
    <row r="19" spans="2:21" x14ac:dyDescent="0.25">
      <c r="B19" s="253" t="str">
        <f t="shared" si="0"/>
        <v>Rack Chassis</v>
      </c>
      <c r="C19" s="252">
        <f t="shared" si="1"/>
        <v>3.8446023683690381E-4</v>
      </c>
      <c r="E19" s="265" t="s">
        <v>480</v>
      </c>
      <c r="F19" s="270">
        <f>SUM(F20:F27)</f>
        <v>26586.333333333332</v>
      </c>
      <c r="G19" s="275"/>
    </row>
    <row r="20" spans="2:21" x14ac:dyDescent="0.25">
      <c r="B20" s="253" t="str">
        <f t="shared" si="0"/>
        <v>Manifold (CDM)</v>
      </c>
      <c r="C20" s="252">
        <f t="shared" si="1"/>
        <v>1.730071065766067E-3</v>
      </c>
      <c r="E20" s="272" t="s">
        <v>150</v>
      </c>
      <c r="F20" s="254">
        <f>+I20</f>
        <v>23066.333333333332</v>
      </c>
      <c r="H20" s="265" t="s">
        <v>150</v>
      </c>
      <c r="I20" s="270">
        <f>+SUM(I21:I25)</f>
        <v>23066.333333333332</v>
      </c>
      <c r="J20" s="275"/>
    </row>
    <row r="21" spans="2:21" x14ac:dyDescent="0.25">
      <c r="B21" s="253" t="str">
        <f t="shared" si="0"/>
        <v>Power supply</v>
      </c>
      <c r="C21" s="252">
        <f t="shared" si="1"/>
        <v>9.739659333201563E-3</v>
      </c>
      <c r="E21" s="272" t="s">
        <v>479</v>
      </c>
      <c r="F21" s="254">
        <v>250</v>
      </c>
      <c r="H21" s="253" t="s">
        <v>478</v>
      </c>
      <c r="I21" s="254">
        <f>+K23*4</f>
        <v>16000</v>
      </c>
    </row>
    <row r="22" spans="2:21" x14ac:dyDescent="0.25">
      <c r="B22" s="253" t="str">
        <f t="shared" si="0"/>
        <v>Management switch</v>
      </c>
      <c r="C22" s="252">
        <f t="shared" si="1"/>
        <v>5.1261364911587171E-4</v>
      </c>
      <c r="D22" s="275"/>
      <c r="E22" s="272" t="s">
        <v>477</v>
      </c>
      <c r="F22" s="254">
        <f>50*2+60</f>
        <v>160</v>
      </c>
      <c r="H22" s="253" t="s">
        <v>476</v>
      </c>
      <c r="I22" s="254">
        <f>1450/(1-70%)</f>
        <v>4833.333333333333</v>
      </c>
      <c r="K22" s="265" t="s">
        <v>475</v>
      </c>
    </row>
    <row r="23" spans="2:21" x14ac:dyDescent="0.25">
      <c r="B23" s="253" t="str">
        <f t="shared" si="0"/>
        <v>Other cooling</v>
      </c>
      <c r="C23" s="252">
        <f t="shared" si="1"/>
        <v>1.0252272982317434E-4</v>
      </c>
      <c r="E23" s="272" t="s">
        <v>474</v>
      </c>
      <c r="F23" s="254">
        <f>20*18</f>
        <v>360</v>
      </c>
      <c r="G23" s="275"/>
      <c r="H23" s="253" t="s">
        <v>473</v>
      </c>
      <c r="I23" s="254">
        <f>200*2</f>
        <v>400</v>
      </c>
      <c r="K23" s="254">
        <v>4000</v>
      </c>
    </row>
    <row r="24" spans="2:21" x14ac:dyDescent="0.25">
      <c r="B24" s="253" t="str">
        <f t="shared" si="0"/>
        <v>4x Cable Cartridge</v>
      </c>
      <c r="C24" s="252">
        <f t="shared" si="1"/>
        <v>3.9300379765550156E-3</v>
      </c>
      <c r="E24" s="272" t="s">
        <v>472</v>
      </c>
      <c r="F24" s="254">
        <v>50</v>
      </c>
      <c r="H24" s="249" t="s">
        <v>470</v>
      </c>
      <c r="I24" s="254">
        <v>350</v>
      </c>
      <c r="J24" s="275"/>
    </row>
    <row r="25" spans="2:21" x14ac:dyDescent="0.25">
      <c r="B25" s="253" t="str">
        <f t="shared" si="0"/>
        <v>Others</v>
      </c>
      <c r="C25" s="252">
        <f t="shared" si="1"/>
        <v>9.8678127454805298E-3</v>
      </c>
      <c r="E25" s="272" t="s">
        <v>446</v>
      </c>
      <c r="F25" s="254">
        <f>+V42</f>
        <v>533.33333333333326</v>
      </c>
      <c r="H25" s="253" t="s">
        <v>189</v>
      </c>
      <c r="I25" s="254">
        <f>550+933</f>
        <v>1483</v>
      </c>
      <c r="S25" s="265" t="s">
        <v>471</v>
      </c>
      <c r="T25" s="265" t="s">
        <v>368</v>
      </c>
      <c r="U25" s="265" t="s">
        <v>444</v>
      </c>
    </row>
    <row r="26" spans="2:21" x14ac:dyDescent="0.25">
      <c r="B26" s="274" t="str">
        <f t="shared" si="0"/>
        <v>Rack assembly &amp; test</v>
      </c>
      <c r="C26" s="273">
        <f t="shared" si="1"/>
        <v>3.6908182736342765E-3</v>
      </c>
      <c r="D26" s="254"/>
      <c r="E26" s="272" t="s">
        <v>470</v>
      </c>
      <c r="F26" s="254">
        <f>350/(1-70%)</f>
        <v>1166.6666666666665</v>
      </c>
      <c r="H26" s="253"/>
      <c r="I26" s="254"/>
      <c r="S26" s="253" t="s">
        <v>469</v>
      </c>
      <c r="T26" s="254">
        <f>192*8*1.0625</f>
        <v>1632</v>
      </c>
      <c r="U26" s="254">
        <f>+T26*288/(1-70%)</f>
        <v>1566719.9999999998</v>
      </c>
    </row>
    <row r="27" spans="2:21" ht="15.75" thickBot="1" x14ac:dyDescent="0.3">
      <c r="B27" s="251" t="str">
        <f t="shared" si="0"/>
        <v>Total</v>
      </c>
      <c r="C27" s="250">
        <f>+SUM(C17:C26)</f>
        <v>0.99999999999999989</v>
      </c>
      <c r="E27" s="272" t="s">
        <v>189</v>
      </c>
      <c r="F27" s="254">
        <v>1000</v>
      </c>
      <c r="G27" s="254"/>
      <c r="H27" s="253"/>
      <c r="I27" s="254"/>
      <c r="J27" s="254"/>
      <c r="S27" s="253" t="s">
        <v>468</v>
      </c>
      <c r="T27" s="254">
        <f>128*8*1.0625</f>
        <v>1088</v>
      </c>
      <c r="U27" s="254">
        <f>+T27*18</f>
        <v>19584</v>
      </c>
    </row>
    <row r="28" spans="2:21" ht="15" customHeight="1" x14ac:dyDescent="0.25">
      <c r="B28" s="271"/>
      <c r="C28" s="268"/>
      <c r="E28" s="253"/>
      <c r="F28" s="254"/>
      <c r="G28" s="254"/>
      <c r="H28" s="253"/>
      <c r="I28" s="254"/>
      <c r="J28" s="254"/>
      <c r="S28" s="253" t="s">
        <v>467</v>
      </c>
      <c r="T28" s="254">
        <f>350*16</f>
        <v>5600</v>
      </c>
      <c r="U28" s="254">
        <f>+T28*72</f>
        <v>403200</v>
      </c>
    </row>
    <row r="29" spans="2:21" x14ac:dyDescent="0.25">
      <c r="B29" s="271"/>
      <c r="C29" s="268"/>
      <c r="E29" s="265" t="s">
        <v>466</v>
      </c>
      <c r="F29" s="270">
        <f>+F30*18+F31*72+F32*36</f>
        <v>25830</v>
      </c>
      <c r="G29" s="254"/>
      <c r="H29" s="265" t="s">
        <v>465</v>
      </c>
      <c r="I29" s="270">
        <f>SUM(I30:I34)</f>
        <v>20340</v>
      </c>
      <c r="J29" s="254"/>
      <c r="K29" s="265" t="s">
        <v>464</v>
      </c>
      <c r="L29" s="270">
        <f>SUM(L30:L34)</f>
        <v>4320</v>
      </c>
      <c r="S29" s="253" t="s">
        <v>463</v>
      </c>
      <c r="T29" s="254">
        <f>350*1.92</f>
        <v>672</v>
      </c>
      <c r="U29" s="254">
        <f>+T29*18</f>
        <v>12096</v>
      </c>
    </row>
    <row r="30" spans="2:21" ht="15" customHeight="1" x14ac:dyDescent="0.4">
      <c r="B30" s="269"/>
      <c r="C30" s="268"/>
      <c r="E30" s="266" t="s">
        <v>462</v>
      </c>
      <c r="F30" s="254">
        <v>255</v>
      </c>
      <c r="G30" s="254"/>
      <c r="H30" s="253" t="s">
        <v>461</v>
      </c>
      <c r="I30" s="254">
        <f>200*72</f>
        <v>14400</v>
      </c>
      <c r="J30" s="254"/>
      <c r="K30" s="253" t="s">
        <v>460</v>
      </c>
      <c r="L30" s="254">
        <f>90*36</f>
        <v>3240</v>
      </c>
      <c r="S30" s="258" t="s">
        <v>204</v>
      </c>
      <c r="T30" s="267"/>
      <c r="U30" s="256">
        <f>SUM(U26:U29)</f>
        <v>2001599.9999999998</v>
      </c>
    </row>
    <row r="31" spans="2:21" x14ac:dyDescent="0.25">
      <c r="E31" s="266" t="s">
        <v>459</v>
      </c>
      <c r="F31" s="254">
        <v>270</v>
      </c>
      <c r="G31" s="254"/>
      <c r="H31" s="253" t="s">
        <v>458</v>
      </c>
      <c r="I31" s="254">
        <f>60*36</f>
        <v>2160</v>
      </c>
      <c r="J31" s="254"/>
      <c r="K31" s="253" t="s">
        <v>457</v>
      </c>
      <c r="L31" s="254">
        <f>45*9</f>
        <v>405</v>
      </c>
    </row>
    <row r="32" spans="2:21" x14ac:dyDescent="0.25">
      <c r="B32" s="260" t="s">
        <v>456</v>
      </c>
      <c r="C32" s="259"/>
      <c r="E32" s="253" t="s">
        <v>455</v>
      </c>
      <c r="F32" s="254">
        <v>50</v>
      </c>
      <c r="G32" s="254"/>
      <c r="H32" s="253" t="s">
        <v>454</v>
      </c>
      <c r="I32" s="254">
        <f>30*36</f>
        <v>1080</v>
      </c>
      <c r="J32" s="254"/>
      <c r="K32" s="253" t="s">
        <v>453</v>
      </c>
      <c r="L32" s="254">
        <f>5*18</f>
        <v>90</v>
      </c>
    </row>
    <row r="33" spans="2:22" x14ac:dyDescent="0.25">
      <c r="B33" s="249" t="s">
        <v>452</v>
      </c>
      <c r="C33" s="254">
        <f>+K6*72</f>
        <v>3960000</v>
      </c>
      <c r="E33" s="253"/>
      <c r="F33" s="254"/>
      <c r="G33" s="254"/>
      <c r="H33" s="253" t="s">
        <v>451</v>
      </c>
      <c r="I33" s="254">
        <f>30*18</f>
        <v>540</v>
      </c>
      <c r="J33" s="254"/>
      <c r="K33" s="249" t="s">
        <v>450</v>
      </c>
      <c r="L33" s="254">
        <f>5*72</f>
        <v>360</v>
      </c>
    </row>
    <row r="34" spans="2:22" x14ac:dyDescent="0.25">
      <c r="B34" s="249" t="s">
        <v>449</v>
      </c>
      <c r="C34" s="254">
        <f>+I5*36</f>
        <v>198000</v>
      </c>
      <c r="E34" s="253"/>
      <c r="F34" s="254"/>
      <c r="G34" s="254"/>
      <c r="H34" s="253" t="s">
        <v>448</v>
      </c>
      <c r="I34" s="254">
        <f>30*72</f>
        <v>2160</v>
      </c>
      <c r="J34" s="254"/>
      <c r="K34" s="253" t="s">
        <v>447</v>
      </c>
      <c r="L34" s="254">
        <f>5*45</f>
        <v>225</v>
      </c>
      <c r="S34" s="265" t="s">
        <v>446</v>
      </c>
      <c r="T34" s="265" t="s">
        <v>445</v>
      </c>
      <c r="U34" s="265" t="s">
        <v>368</v>
      </c>
      <c r="V34" s="265" t="s">
        <v>444</v>
      </c>
    </row>
    <row r="35" spans="2:22" x14ac:dyDescent="0.25">
      <c r="B35" s="249" t="s">
        <v>443</v>
      </c>
      <c r="C35" s="254">
        <f>(4*9*K23)+((F5-700)*18)+((F6-700)*18)</f>
        <v>694800</v>
      </c>
      <c r="E35" s="253"/>
      <c r="F35" s="254"/>
      <c r="G35" s="254"/>
      <c r="H35" s="253"/>
      <c r="I35" s="254"/>
      <c r="J35" s="254"/>
      <c r="S35" s="264" t="s">
        <v>442</v>
      </c>
      <c r="T35" s="263">
        <f>SUM(T36:T41)</f>
        <v>28</v>
      </c>
      <c r="U35" s="262">
        <f>+V35/T35</f>
        <v>73.80952380952381</v>
      </c>
      <c r="V35" s="262">
        <f>SUM(V36:V41)</f>
        <v>2066.6666666666665</v>
      </c>
    </row>
    <row r="36" spans="2:22" x14ac:dyDescent="0.25">
      <c r="B36" s="249" t="s">
        <v>441</v>
      </c>
      <c r="C36" s="254">
        <f>+(I9*2+F7)*18+(T27*18)</f>
        <v>2001599.9999999998</v>
      </c>
      <c r="E36" s="253"/>
      <c r="F36" s="254"/>
      <c r="G36" s="254"/>
      <c r="H36" s="253"/>
      <c r="I36" s="254"/>
      <c r="J36" s="254"/>
      <c r="S36" s="249" t="s">
        <v>440</v>
      </c>
      <c r="T36" s="255">
        <v>4</v>
      </c>
      <c r="U36" s="254">
        <v>20</v>
      </c>
      <c r="V36" s="254">
        <f t="shared" ref="V36:V41" si="2">+(U36*T36)/(1-70%)</f>
        <v>266.66666666666663</v>
      </c>
    </row>
    <row r="37" spans="2:22" x14ac:dyDescent="0.25">
      <c r="B37" s="249" t="s">
        <v>439</v>
      </c>
      <c r="C37" s="254">
        <f>+(I8*0.3*36)+(F8*0.75*18)+(F30*18)+(F31*72)+(I22*0.3*9)+(F32*45)</f>
        <v>116730</v>
      </c>
      <c r="E37" s="253"/>
      <c r="F37" s="254"/>
      <c r="G37" s="254"/>
      <c r="H37" s="253"/>
      <c r="I37" s="254"/>
      <c r="J37" s="254"/>
      <c r="S37" s="249" t="s">
        <v>438</v>
      </c>
      <c r="T37" s="255">
        <v>6</v>
      </c>
      <c r="U37" s="254">
        <v>20</v>
      </c>
      <c r="V37" s="254">
        <f t="shared" si="2"/>
        <v>399.99999999999994</v>
      </c>
    </row>
    <row r="38" spans="2:22" x14ac:dyDescent="0.25">
      <c r="B38" s="249" t="s">
        <v>142</v>
      </c>
      <c r="C38" s="254">
        <f>+I29</f>
        <v>20340</v>
      </c>
      <c r="E38" s="253"/>
      <c r="F38" s="254"/>
      <c r="G38" s="254"/>
      <c r="H38" s="253"/>
      <c r="I38" s="254"/>
      <c r="J38" s="254"/>
      <c r="S38" s="249" t="s">
        <v>437</v>
      </c>
      <c r="T38" s="255">
        <v>1</v>
      </c>
      <c r="U38" s="254">
        <v>20</v>
      </c>
      <c r="V38" s="254">
        <f t="shared" si="2"/>
        <v>66.666666666666657</v>
      </c>
    </row>
    <row r="39" spans="2:22" x14ac:dyDescent="0.25">
      <c r="B39" s="249" t="s">
        <v>436</v>
      </c>
      <c r="C39" s="254">
        <f>+L29</f>
        <v>4320</v>
      </c>
      <c r="E39" s="253"/>
      <c r="F39" s="254"/>
      <c r="G39" s="254"/>
      <c r="H39" s="253"/>
      <c r="I39" s="254"/>
      <c r="J39" s="254"/>
      <c r="S39" s="249" t="s">
        <v>435</v>
      </c>
      <c r="T39" s="255">
        <v>4</v>
      </c>
      <c r="U39" s="254">
        <v>20</v>
      </c>
      <c r="V39" s="254">
        <f t="shared" si="2"/>
        <v>266.66666666666663</v>
      </c>
    </row>
    <row r="40" spans="2:22" x14ac:dyDescent="0.25">
      <c r="B40" s="249" t="s">
        <v>434</v>
      </c>
      <c r="C40" s="254">
        <f>+((F10+F11+F12+F13)*18)+(I7*36)+(I23*9)+((F22+F23)*9)+C7+C10</f>
        <v>72080</v>
      </c>
      <c r="E40" s="253"/>
      <c r="F40" s="254"/>
      <c r="G40" s="254"/>
      <c r="H40" s="253"/>
      <c r="I40" s="254"/>
      <c r="J40" s="254"/>
      <c r="S40" s="249" t="s">
        <v>433</v>
      </c>
      <c r="T40" s="255">
        <v>1</v>
      </c>
      <c r="U40" s="254">
        <v>20</v>
      </c>
      <c r="V40" s="254">
        <f t="shared" si="2"/>
        <v>66.666666666666657</v>
      </c>
    </row>
    <row r="41" spans="2:22" x14ac:dyDescent="0.25">
      <c r="B41" s="249" t="s">
        <v>432</v>
      </c>
      <c r="C41" s="254">
        <f>+C8</f>
        <v>76000</v>
      </c>
      <c r="E41" s="253"/>
      <c r="F41" s="254"/>
      <c r="G41" s="254"/>
      <c r="H41" s="253"/>
      <c r="I41" s="254"/>
      <c r="J41" s="254"/>
      <c r="S41" s="249" t="s">
        <v>431</v>
      </c>
      <c r="T41" s="255">
        <v>12</v>
      </c>
      <c r="U41" s="254">
        <v>25</v>
      </c>
      <c r="V41" s="254">
        <f t="shared" si="2"/>
        <v>999.99999999999989</v>
      </c>
    </row>
    <row r="42" spans="2:22" x14ac:dyDescent="0.25">
      <c r="B42" s="249" t="s">
        <v>430</v>
      </c>
      <c r="C42" s="254">
        <f>+(F14+F15)*18+(F21+F24)*9+C6</f>
        <v>11100</v>
      </c>
      <c r="E42" s="253"/>
      <c r="F42" s="254"/>
      <c r="G42" s="254"/>
      <c r="H42" s="253"/>
      <c r="I42" s="254"/>
      <c r="J42" s="254"/>
      <c r="S42" s="264" t="s">
        <v>429</v>
      </c>
      <c r="T42" s="263">
        <f>SUM(T43)</f>
        <v>8</v>
      </c>
      <c r="U42" s="262">
        <f>+V42/T42</f>
        <v>66.666666666666657</v>
      </c>
      <c r="V42" s="262">
        <f>SUM(V43)</f>
        <v>533.33333333333326</v>
      </c>
    </row>
    <row r="43" spans="2:22" x14ac:dyDescent="0.25">
      <c r="B43" s="249" t="s">
        <v>189</v>
      </c>
      <c r="C43" s="254">
        <f>+C45-C44-SUM(C33:C42)</f>
        <v>619377.66666666698</v>
      </c>
      <c r="E43" s="253"/>
      <c r="F43" s="254"/>
      <c r="G43" s="254"/>
      <c r="H43" s="253"/>
      <c r="I43" s="254"/>
      <c r="J43" s="254"/>
      <c r="S43" s="249" t="s">
        <v>428</v>
      </c>
      <c r="T43" s="255">
        <v>8</v>
      </c>
      <c r="U43" s="254">
        <v>20</v>
      </c>
      <c r="V43" s="254">
        <f>+(U43*T43)/(1-70%)</f>
        <v>533.33333333333326</v>
      </c>
    </row>
    <row r="44" spans="2:22" x14ac:dyDescent="0.25">
      <c r="B44" s="249" t="s">
        <v>371</v>
      </c>
      <c r="C44" s="254">
        <f>+C13</f>
        <v>28800</v>
      </c>
      <c r="E44" s="253"/>
      <c r="F44" s="254"/>
      <c r="G44" s="254"/>
      <c r="H44" s="253"/>
      <c r="I44" s="254"/>
      <c r="J44" s="254"/>
      <c r="S44" s="264" t="s">
        <v>427</v>
      </c>
      <c r="T44" s="263">
        <f>SUM(T45)</f>
        <v>36</v>
      </c>
      <c r="U44" s="262">
        <f>+V44/T44</f>
        <v>83.333333333333314</v>
      </c>
      <c r="V44" s="262">
        <f>SUM(V45)</f>
        <v>2999.9999999999995</v>
      </c>
    </row>
    <row r="45" spans="2:22" ht="15.75" thickBot="1" x14ac:dyDescent="0.3">
      <c r="B45" s="251" t="s">
        <v>204</v>
      </c>
      <c r="C45" s="261">
        <f>+C14</f>
        <v>7803147.666666667</v>
      </c>
      <c r="E45" s="253"/>
      <c r="F45" s="254"/>
      <c r="G45" s="254"/>
      <c r="H45" s="253"/>
      <c r="I45" s="254"/>
      <c r="J45" s="254"/>
      <c r="S45" s="249" t="s">
        <v>426</v>
      </c>
      <c r="T45" s="255">
        <v>36</v>
      </c>
      <c r="U45" s="254">
        <v>25</v>
      </c>
      <c r="V45" s="254">
        <f>+(U45*T45)/(1-70%)</f>
        <v>2999.9999999999995</v>
      </c>
    </row>
    <row r="46" spans="2:22" x14ac:dyDescent="0.25">
      <c r="E46" s="253"/>
      <c r="F46" s="254"/>
      <c r="G46" s="254"/>
      <c r="H46" s="253"/>
      <c r="I46" s="254"/>
      <c r="J46" s="254"/>
      <c r="T46" s="255"/>
      <c r="U46" s="254"/>
      <c r="V46" s="254"/>
    </row>
    <row r="47" spans="2:22" x14ac:dyDescent="0.25">
      <c r="B47" s="260" t="str">
        <f t="shared" ref="B47:B60" si="3">+B32</f>
        <v>Simplied VR200 NVL72 BOM</v>
      </c>
      <c r="C47" s="259"/>
      <c r="E47" s="253"/>
      <c r="F47" s="254"/>
      <c r="G47" s="254"/>
      <c r="H47" s="253"/>
      <c r="I47" s="254"/>
      <c r="J47" s="254"/>
      <c r="S47" s="258" t="s">
        <v>204</v>
      </c>
      <c r="T47" s="257">
        <f>+SUM(T48:T50)</f>
        <v>720</v>
      </c>
      <c r="U47" s="256">
        <f>+V47/T47</f>
        <v>75</v>
      </c>
      <c r="V47" s="256">
        <f>+SUM(V48:V50)</f>
        <v>54000</v>
      </c>
    </row>
    <row r="48" spans="2:22" x14ac:dyDescent="0.25">
      <c r="B48" s="253" t="str">
        <f t="shared" si="3"/>
        <v>Rubin GPU</v>
      </c>
      <c r="C48" s="252">
        <f t="shared" ref="C48:C60" si="4">+C33/C$45</f>
        <v>0.50748751262471303</v>
      </c>
      <c r="S48" s="249" t="s">
        <v>425</v>
      </c>
      <c r="T48" s="255">
        <f>+T35*18</f>
        <v>504</v>
      </c>
      <c r="U48" s="254">
        <f>+U35</f>
        <v>73.80952380952381</v>
      </c>
      <c r="V48" s="254">
        <f>+T48*U48</f>
        <v>37200</v>
      </c>
    </row>
    <row r="49" spans="2:22" x14ac:dyDescent="0.25">
      <c r="B49" s="253" t="str">
        <f t="shared" si="3"/>
        <v>Vera CPU</v>
      </c>
      <c r="C49" s="252">
        <f t="shared" si="4"/>
        <v>2.5374375631235652E-2</v>
      </c>
      <c r="S49" s="249" t="s">
        <v>424</v>
      </c>
      <c r="T49" s="255">
        <f>+T42*9</f>
        <v>72</v>
      </c>
      <c r="U49" s="254">
        <f>+U42</f>
        <v>66.666666666666657</v>
      </c>
      <c r="V49" s="254">
        <f>+T49*U49</f>
        <v>4799.9999999999991</v>
      </c>
    </row>
    <row r="50" spans="2:22" x14ac:dyDescent="0.25">
      <c r="B50" s="253" t="str">
        <f t="shared" si="3"/>
        <v>Networking chips</v>
      </c>
      <c r="C50" s="252">
        <f t="shared" si="4"/>
        <v>8.9040990851426915E-2</v>
      </c>
      <c r="S50" s="249" t="s">
        <v>423</v>
      </c>
      <c r="T50" s="255">
        <f>+T44*4</f>
        <v>144</v>
      </c>
      <c r="U50" s="254">
        <f>+U44</f>
        <v>83.333333333333314</v>
      </c>
      <c r="V50" s="254">
        <f>+T50*U50</f>
        <v>11999.999999999996</v>
      </c>
    </row>
    <row r="51" spans="2:22" x14ac:dyDescent="0.25">
      <c r="B51" s="253" t="str">
        <f t="shared" si="3"/>
        <v>Memory</v>
      </c>
      <c r="C51" s="252">
        <f t="shared" si="4"/>
        <v>0.25651187001758219</v>
      </c>
    </row>
    <row r="52" spans="2:22" x14ac:dyDescent="0.25">
      <c r="B52" s="253" t="str">
        <f t="shared" si="3"/>
        <v>PCB</v>
      </c>
      <c r="C52" s="252">
        <f t="shared" si="4"/>
        <v>1.4959347815323926E-2</v>
      </c>
    </row>
    <row r="53" spans="2:22" x14ac:dyDescent="0.25">
      <c r="B53" s="253" t="str">
        <f t="shared" si="3"/>
        <v>ABF Substrate</v>
      </c>
      <c r="C53" s="252">
        <f t="shared" si="4"/>
        <v>2.6066404057542079E-3</v>
      </c>
    </row>
    <row r="54" spans="2:22" x14ac:dyDescent="0.25">
      <c r="B54" s="253" t="str">
        <f t="shared" si="3"/>
        <v>MLCC</v>
      </c>
      <c r="C54" s="252">
        <f t="shared" si="4"/>
        <v>5.5362274104514152E-4</v>
      </c>
    </row>
    <row r="55" spans="2:22" x14ac:dyDescent="0.25">
      <c r="B55" s="253" t="str">
        <f t="shared" si="3"/>
        <v>Cooling</v>
      </c>
      <c r="C55" s="252">
        <f t="shared" si="4"/>
        <v>9.2372979570680084E-3</v>
      </c>
    </row>
    <row r="56" spans="2:22" x14ac:dyDescent="0.25">
      <c r="B56" s="253" t="str">
        <f t="shared" si="3"/>
        <v>Power supply</v>
      </c>
      <c r="C56" s="252">
        <f t="shared" si="4"/>
        <v>9.739659333201563E-3</v>
      </c>
    </row>
    <row r="57" spans="2:22" x14ac:dyDescent="0.25">
      <c r="B57" s="253" t="str">
        <f t="shared" si="3"/>
        <v>Chassis/Rail kits</v>
      </c>
      <c r="C57" s="252">
        <f t="shared" si="4"/>
        <v>1.422502876296544E-3</v>
      </c>
    </row>
    <row r="58" spans="2:22" x14ac:dyDescent="0.25">
      <c r="B58" s="253" t="str">
        <f t="shared" si="3"/>
        <v>Others</v>
      </c>
      <c r="C58" s="252">
        <f t="shared" si="4"/>
        <v>7.937536147271855E-2</v>
      </c>
    </row>
    <row r="59" spans="2:22" x14ac:dyDescent="0.25">
      <c r="B59" s="253" t="str">
        <f t="shared" si="3"/>
        <v>Rack assembly value add</v>
      </c>
      <c r="C59" s="252">
        <f t="shared" si="4"/>
        <v>3.6908182736342765E-3</v>
      </c>
    </row>
    <row r="60" spans="2:22" ht="15.75" thickBot="1" x14ac:dyDescent="0.3">
      <c r="B60" s="251" t="str">
        <f t="shared" si="3"/>
        <v>Total</v>
      </c>
      <c r="C60" s="250">
        <f t="shared" si="4"/>
        <v>1</v>
      </c>
    </row>
  </sheetData>
  <pageMargins left="0.7" right="0.7" top="0.75" bottom="0.75" header="0.3" footer="0.3"/>
  <pageSetup paperSize="9"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7090-A4F8-4B90-8FFC-C05F76715977}">
  <dimension ref="B2:V57"/>
  <sheetViews>
    <sheetView zoomScaleNormal="100" workbookViewId="0"/>
  </sheetViews>
  <sheetFormatPr defaultColWidth="8" defaultRowHeight="15" x14ac:dyDescent="0.25"/>
  <cols>
    <col min="1" max="1" width="3" style="249" customWidth="1"/>
    <col min="2" max="2" width="30" style="249" bestFit="1" customWidth="1"/>
    <col min="3" max="3" width="12" style="249" bestFit="1" customWidth="1"/>
    <col min="4" max="4" width="7.5703125" style="249" customWidth="1"/>
    <col min="5" max="5" width="34.42578125" style="249" bestFit="1" customWidth="1"/>
    <col min="6" max="6" width="10.85546875" style="249" bestFit="1" customWidth="1"/>
    <col min="7" max="7" width="7.5703125" style="249" customWidth="1"/>
    <col min="8" max="8" width="34.42578125" style="249" bestFit="1" customWidth="1"/>
    <col min="9" max="9" width="9.28515625" style="249" bestFit="1" customWidth="1"/>
    <col min="10" max="10" width="7.5703125" style="249" customWidth="1"/>
    <col min="11" max="11" width="42.28515625" style="249" bestFit="1" customWidth="1"/>
    <col min="12" max="12" width="8.7109375" style="249" customWidth="1"/>
    <col min="13" max="13" width="3.7109375" style="249" customWidth="1"/>
    <col min="14" max="15" width="8" style="249"/>
    <col min="16" max="16" width="8.7109375" style="249" bestFit="1" customWidth="1"/>
    <col min="17" max="18" width="8" style="249"/>
    <col min="19" max="19" width="41.28515625" style="249" bestFit="1" customWidth="1"/>
    <col min="20" max="20" width="9.7109375" style="249" bestFit="1" customWidth="1"/>
    <col min="21" max="22" width="10.7109375" style="249" bestFit="1" customWidth="1"/>
    <col min="23" max="16384" width="8" style="249"/>
  </cols>
  <sheetData>
    <row r="2" spans="2:21" ht="27" thickBot="1" x14ac:dyDescent="0.45">
      <c r="B2" s="269" t="s">
        <v>23</v>
      </c>
    </row>
    <row r="3" spans="2:21" x14ac:dyDescent="0.25">
      <c r="B3" s="260" t="s">
        <v>539</v>
      </c>
      <c r="C3" s="259"/>
      <c r="E3" s="265" t="s">
        <v>510</v>
      </c>
      <c r="F3" s="270">
        <f>SUM(F4:F16)</f>
        <v>205131.06666666668</v>
      </c>
      <c r="O3" s="284"/>
      <c r="P3" s="283" t="s">
        <v>509</v>
      </c>
    </row>
    <row r="4" spans="2:21" x14ac:dyDescent="0.25">
      <c r="B4" s="253" t="s">
        <v>508</v>
      </c>
      <c r="C4" s="254">
        <f>+F3*18</f>
        <v>3692359.2</v>
      </c>
      <c r="D4" s="275"/>
      <c r="E4" s="272" t="s">
        <v>507</v>
      </c>
      <c r="F4" s="254">
        <f>+I4*2</f>
        <v>182073.33333333334</v>
      </c>
      <c r="G4" s="275"/>
      <c r="H4" s="265" t="s">
        <v>506</v>
      </c>
      <c r="I4" s="270">
        <f>+SUM(I5:I11)</f>
        <v>91036.666666666672</v>
      </c>
      <c r="J4" s="275"/>
      <c r="K4" s="275"/>
      <c r="L4" s="275"/>
      <c r="O4" s="282" t="s">
        <v>505</v>
      </c>
      <c r="P4" s="281">
        <v>41</v>
      </c>
    </row>
    <row r="5" spans="2:21" ht="15.75" thickBot="1" x14ac:dyDescent="0.3">
      <c r="B5" s="253" t="s">
        <v>504</v>
      </c>
      <c r="C5" s="254">
        <f>+F18*9</f>
        <v>131024.99999999999</v>
      </c>
      <c r="D5" s="275"/>
      <c r="E5" s="272" t="s">
        <v>538</v>
      </c>
      <c r="F5" s="254">
        <v>5500</v>
      </c>
      <c r="G5" s="275"/>
      <c r="H5" s="253" t="s">
        <v>537</v>
      </c>
      <c r="I5" s="254">
        <v>5000</v>
      </c>
      <c r="J5" s="275"/>
      <c r="K5" s="265" t="s">
        <v>536</v>
      </c>
      <c r="L5" s="275"/>
      <c r="M5" s="275"/>
      <c r="O5" s="280" t="s">
        <v>500</v>
      </c>
      <c r="P5" s="279">
        <v>85</v>
      </c>
      <c r="S5" s="265" t="s">
        <v>499</v>
      </c>
      <c r="T5" s="265" t="s">
        <v>368</v>
      </c>
      <c r="U5" s="265" t="s">
        <v>444</v>
      </c>
    </row>
    <row r="6" spans="2:21" x14ac:dyDescent="0.25">
      <c r="B6" s="253" t="s">
        <v>498</v>
      </c>
      <c r="C6" s="254">
        <v>3000</v>
      </c>
      <c r="D6" s="275"/>
      <c r="E6" s="272" t="s">
        <v>535</v>
      </c>
      <c r="F6" s="254">
        <f>4500*2</f>
        <v>9000</v>
      </c>
      <c r="G6" s="275"/>
      <c r="H6" s="253" t="s">
        <v>534</v>
      </c>
      <c r="I6" s="254">
        <f>+K6*2</f>
        <v>70000</v>
      </c>
      <c r="J6" s="275"/>
      <c r="K6" s="254">
        <v>35000</v>
      </c>
      <c r="L6" s="275"/>
      <c r="M6" s="275"/>
      <c r="S6" s="249" t="s">
        <v>426</v>
      </c>
      <c r="T6" s="254">
        <v>30</v>
      </c>
      <c r="U6" s="254">
        <f>+T6*36</f>
        <v>1080</v>
      </c>
    </row>
    <row r="7" spans="2:21" x14ac:dyDescent="0.25">
      <c r="B7" s="253" t="s">
        <v>370</v>
      </c>
      <c r="C7" s="254">
        <v>13500</v>
      </c>
      <c r="D7" s="275"/>
      <c r="E7" s="272" t="s">
        <v>495</v>
      </c>
      <c r="F7" s="254">
        <f>+T29+(T28*4)</f>
        <v>4614.3999999999996</v>
      </c>
      <c r="G7" s="275"/>
      <c r="H7" s="253" t="s">
        <v>484</v>
      </c>
      <c r="I7" s="254">
        <f>250*3</f>
        <v>750</v>
      </c>
      <c r="J7" s="275"/>
      <c r="M7" s="275"/>
      <c r="O7" s="249" t="s">
        <v>283</v>
      </c>
      <c r="P7" s="249">
        <v>71</v>
      </c>
      <c r="S7" s="249" t="s">
        <v>494</v>
      </c>
      <c r="T7" s="254">
        <v>1250</v>
      </c>
      <c r="U7" s="254">
        <f>+T7*1</f>
        <v>1250</v>
      </c>
    </row>
    <row r="8" spans="2:21" x14ac:dyDescent="0.25">
      <c r="B8" s="253" t="s">
        <v>432</v>
      </c>
      <c r="C8" s="254">
        <v>57600</v>
      </c>
      <c r="D8" s="275"/>
      <c r="E8" s="272" t="s">
        <v>446</v>
      </c>
      <c r="F8" s="254">
        <f>+V35</f>
        <v>333.33333333333326</v>
      </c>
      <c r="G8" s="275"/>
      <c r="H8" s="253" t="s">
        <v>493</v>
      </c>
      <c r="I8" s="254">
        <f>650/0.3</f>
        <v>2166.666666666667</v>
      </c>
      <c r="J8" s="275"/>
      <c r="M8" s="275"/>
      <c r="O8" s="249" t="s">
        <v>363</v>
      </c>
      <c r="P8" s="249">
        <v>80</v>
      </c>
      <c r="S8" s="249" t="s">
        <v>492</v>
      </c>
      <c r="T8" s="254">
        <v>150</v>
      </c>
      <c r="U8" s="254">
        <f>+T8*1</f>
        <v>150</v>
      </c>
    </row>
    <row r="9" spans="2:21" x14ac:dyDescent="0.25">
      <c r="B9" s="253" t="s">
        <v>491</v>
      </c>
      <c r="C9" s="254">
        <f>1650*2</f>
        <v>3300</v>
      </c>
      <c r="D9" s="275"/>
      <c r="E9" s="272" t="s">
        <v>533</v>
      </c>
      <c r="F9" s="254">
        <f>25*8</f>
        <v>200</v>
      </c>
      <c r="G9" s="275"/>
      <c r="H9" s="249" t="s">
        <v>532</v>
      </c>
      <c r="I9" s="254">
        <f>+T26/(1-70%)</f>
        <v>7999.9999999999991</v>
      </c>
      <c r="J9" s="275"/>
      <c r="M9" s="275"/>
      <c r="S9" s="264" t="s">
        <v>204</v>
      </c>
      <c r="U9" s="262">
        <f>SUM(U6:U8)</f>
        <v>2480</v>
      </c>
    </row>
    <row r="10" spans="2:21" x14ac:dyDescent="0.25">
      <c r="B10" s="253" t="s">
        <v>489</v>
      </c>
      <c r="C10" s="254">
        <v>800</v>
      </c>
      <c r="D10" s="275"/>
      <c r="E10" s="272" t="s">
        <v>486</v>
      </c>
      <c r="F10" s="254">
        <v>300</v>
      </c>
      <c r="G10" s="275"/>
      <c r="H10" s="249" t="s">
        <v>470</v>
      </c>
      <c r="I10" s="254">
        <v>1120</v>
      </c>
      <c r="J10" s="275"/>
      <c r="S10" s="249" t="s">
        <v>487</v>
      </c>
      <c r="U10" s="278">
        <v>0.7</v>
      </c>
    </row>
    <row r="11" spans="2:21" x14ac:dyDescent="0.25">
      <c r="B11" s="253" t="s">
        <v>483</v>
      </c>
      <c r="C11" s="254">
        <f>+U12</f>
        <v>33066.666666666664</v>
      </c>
      <c r="D11" s="275"/>
      <c r="E11" s="272" t="s">
        <v>531</v>
      </c>
      <c r="F11" s="254">
        <f>20*8</f>
        <v>160</v>
      </c>
      <c r="G11" s="275"/>
      <c r="H11" s="253" t="s">
        <v>189</v>
      </c>
      <c r="I11" s="254">
        <v>4000</v>
      </c>
      <c r="J11" s="275"/>
      <c r="S11" s="249" t="s">
        <v>485</v>
      </c>
      <c r="U11" s="262">
        <f>+U9/(1-U10)</f>
        <v>8266.6666666666661</v>
      </c>
    </row>
    <row r="12" spans="2:21" x14ac:dyDescent="0.25">
      <c r="B12" s="253" t="s">
        <v>189</v>
      </c>
      <c r="C12" s="254">
        <v>37500</v>
      </c>
      <c r="D12" s="275"/>
      <c r="E12" s="272" t="s">
        <v>481</v>
      </c>
      <c r="F12" s="254">
        <f>50*2</f>
        <v>100</v>
      </c>
      <c r="S12" s="258" t="s">
        <v>483</v>
      </c>
      <c r="T12" s="267"/>
      <c r="U12" s="256">
        <f>+U11*4</f>
        <v>33066.666666666664</v>
      </c>
    </row>
    <row r="13" spans="2:21" x14ac:dyDescent="0.25">
      <c r="B13" s="274" t="s">
        <v>482</v>
      </c>
      <c r="C13" s="276">
        <v>22400</v>
      </c>
      <c r="D13" s="275"/>
      <c r="E13" s="272" t="s">
        <v>479</v>
      </c>
      <c r="F13" s="254">
        <v>200</v>
      </c>
      <c r="G13" s="275"/>
    </row>
    <row r="14" spans="2:21" ht="15.75" thickBot="1" x14ac:dyDescent="0.3">
      <c r="B14" s="251" t="s">
        <v>204</v>
      </c>
      <c r="C14" s="261">
        <f>+SUM(C4:C13)</f>
        <v>3994550.8666666667</v>
      </c>
      <c r="D14" s="275"/>
      <c r="E14" s="272" t="s">
        <v>472</v>
      </c>
      <c r="F14" s="254">
        <v>50</v>
      </c>
      <c r="G14" s="275"/>
      <c r="H14" s="253"/>
      <c r="I14" s="254"/>
      <c r="J14" s="275"/>
      <c r="M14" s="275"/>
    </row>
    <row r="15" spans="2:21" x14ac:dyDescent="0.25">
      <c r="D15" s="275"/>
      <c r="E15" s="272" t="s">
        <v>470</v>
      </c>
      <c r="F15" s="254">
        <v>1600</v>
      </c>
      <c r="G15" s="275"/>
      <c r="H15" s="253"/>
      <c r="I15" s="254"/>
      <c r="J15" s="275"/>
    </row>
    <row r="16" spans="2:21" x14ac:dyDescent="0.25">
      <c r="B16" s="260" t="str">
        <f t="shared" ref="B16:B27" si="0">+B3</f>
        <v>GB300 NVL72 Bill of materials (US$)</v>
      </c>
      <c r="C16" s="259"/>
      <c r="D16" s="275"/>
      <c r="E16" s="272" t="s">
        <v>189</v>
      </c>
      <c r="F16" s="254">
        <v>1000</v>
      </c>
      <c r="G16" s="275"/>
      <c r="H16" s="253"/>
      <c r="I16" s="254"/>
      <c r="J16" s="275"/>
    </row>
    <row r="17" spans="2:21" x14ac:dyDescent="0.25">
      <c r="B17" s="253" t="str">
        <f t="shared" si="0"/>
        <v>18x Compute Tray</v>
      </c>
      <c r="C17" s="252">
        <f t="shared" ref="C17:C26" si="1">+C4/C$14</f>
        <v>0.92434902527131002</v>
      </c>
      <c r="D17" s="275"/>
      <c r="G17" s="275"/>
      <c r="H17" s="253"/>
      <c r="I17" s="254"/>
      <c r="J17" s="275"/>
    </row>
    <row r="18" spans="2:21" x14ac:dyDescent="0.25">
      <c r="B18" s="253" t="str">
        <f t="shared" si="0"/>
        <v>9x Switch Tray</v>
      </c>
      <c r="C18" s="252">
        <f t="shared" si="1"/>
        <v>3.2800934165932008E-2</v>
      </c>
      <c r="D18" s="275"/>
      <c r="E18" s="265" t="s">
        <v>480</v>
      </c>
      <c r="F18" s="270">
        <f>SUM(F19:F26)</f>
        <v>14558.333333333332</v>
      </c>
      <c r="G18" s="275"/>
      <c r="M18" s="254"/>
    </row>
    <row r="19" spans="2:21" x14ac:dyDescent="0.25">
      <c r="B19" s="253" t="str">
        <f t="shared" si="0"/>
        <v>Rack Chassis</v>
      </c>
      <c r="C19" s="252">
        <f t="shared" si="1"/>
        <v>7.5102310626060705E-4</v>
      </c>
      <c r="E19" s="272" t="s">
        <v>150</v>
      </c>
      <c r="F19" s="254">
        <f>+I19</f>
        <v>11971.666666666666</v>
      </c>
      <c r="G19" s="275"/>
      <c r="H19" s="265" t="s">
        <v>150</v>
      </c>
      <c r="I19" s="270">
        <f>+SUM(I20:I24)</f>
        <v>11971.666666666666</v>
      </c>
      <c r="J19" s="275"/>
    </row>
    <row r="20" spans="2:21" x14ac:dyDescent="0.25">
      <c r="B20" s="253" t="str">
        <f t="shared" si="0"/>
        <v>Manifold (CDM)</v>
      </c>
      <c r="C20" s="252">
        <f t="shared" si="1"/>
        <v>3.3796039781727317E-3</v>
      </c>
      <c r="E20" s="272" t="s">
        <v>479</v>
      </c>
      <c r="F20" s="254">
        <v>200</v>
      </c>
      <c r="H20" s="253" t="s">
        <v>530</v>
      </c>
      <c r="I20" s="254">
        <f>+K21*2</f>
        <v>7200</v>
      </c>
      <c r="K20" s="265" t="s">
        <v>475</v>
      </c>
    </row>
    <row r="21" spans="2:21" x14ac:dyDescent="0.25">
      <c r="B21" s="253" t="str">
        <f t="shared" si="0"/>
        <v>Power supply</v>
      </c>
      <c r="C21" s="252">
        <f t="shared" si="1"/>
        <v>1.4419643640203655E-2</v>
      </c>
      <c r="E21" s="272" t="s">
        <v>529</v>
      </c>
      <c r="F21" s="254">
        <f>150+60</f>
        <v>210</v>
      </c>
      <c r="H21" s="253" t="s">
        <v>476</v>
      </c>
      <c r="I21" s="254">
        <f>800/(1-70%)</f>
        <v>2666.6666666666661</v>
      </c>
      <c r="K21" s="254">
        <v>3600</v>
      </c>
    </row>
    <row r="22" spans="2:21" x14ac:dyDescent="0.25">
      <c r="B22" s="253" t="str">
        <f t="shared" si="0"/>
        <v>Management switch</v>
      </c>
      <c r="C22" s="252">
        <f t="shared" si="1"/>
        <v>8.261254168866678E-4</v>
      </c>
      <c r="D22" s="275"/>
      <c r="E22" s="272" t="s">
        <v>481</v>
      </c>
      <c r="F22" s="254">
        <f>50*2</f>
        <v>100</v>
      </c>
      <c r="H22" s="253" t="s">
        <v>473</v>
      </c>
      <c r="I22" s="254">
        <f>200*2</f>
        <v>400</v>
      </c>
    </row>
    <row r="23" spans="2:21" x14ac:dyDescent="0.25">
      <c r="B23" s="253" t="str">
        <f t="shared" si="0"/>
        <v>Other cooling</v>
      </c>
      <c r="C23" s="252">
        <f t="shared" si="1"/>
        <v>2.0027282833616188E-4</v>
      </c>
      <c r="E23" s="272" t="s">
        <v>528</v>
      </c>
      <c r="F23" s="254">
        <f>20*18</f>
        <v>360</v>
      </c>
      <c r="G23" s="275"/>
      <c r="H23" s="249" t="s">
        <v>470</v>
      </c>
      <c r="I23" s="254">
        <v>275</v>
      </c>
      <c r="J23" s="275"/>
    </row>
    <row r="24" spans="2:21" x14ac:dyDescent="0.25">
      <c r="B24" s="253" t="str">
        <f t="shared" si="0"/>
        <v>4x Cable Cartridge</v>
      </c>
      <c r="C24" s="252">
        <f t="shared" si="1"/>
        <v>8.2779435712280244E-3</v>
      </c>
      <c r="E24" s="272" t="s">
        <v>472</v>
      </c>
      <c r="F24" s="254">
        <v>50</v>
      </c>
      <c r="H24" s="253" t="s">
        <v>189</v>
      </c>
      <c r="I24" s="254">
        <f>500+930</f>
        <v>1430</v>
      </c>
    </row>
    <row r="25" spans="2:21" x14ac:dyDescent="0.25">
      <c r="B25" s="253" t="str">
        <f t="shared" si="0"/>
        <v>Others</v>
      </c>
      <c r="C25" s="252">
        <f t="shared" si="1"/>
        <v>9.3877888282575886E-3</v>
      </c>
      <c r="E25" s="272" t="s">
        <v>446</v>
      </c>
      <c r="F25" s="254">
        <f>+V38</f>
        <v>666.66666666666652</v>
      </c>
      <c r="H25" s="253"/>
      <c r="I25" s="254"/>
      <c r="S25" s="265" t="s">
        <v>471</v>
      </c>
      <c r="T25" s="265" t="s">
        <v>368</v>
      </c>
      <c r="U25" s="265" t="s">
        <v>444</v>
      </c>
    </row>
    <row r="26" spans="2:21" x14ac:dyDescent="0.25">
      <c r="B26" s="253" t="str">
        <f t="shared" si="0"/>
        <v>Rack assembly &amp; test</v>
      </c>
      <c r="C26" s="252">
        <f t="shared" si="1"/>
        <v>5.6076391934125327E-3</v>
      </c>
      <c r="D26" s="254"/>
      <c r="E26" s="272" t="s">
        <v>470</v>
      </c>
      <c r="F26" s="254">
        <f>300/(1-70%)</f>
        <v>999.99999999999989</v>
      </c>
      <c r="G26" s="254"/>
      <c r="H26" s="253"/>
      <c r="I26" s="254"/>
      <c r="J26" s="254"/>
      <c r="S26" s="249" t="s">
        <v>527</v>
      </c>
      <c r="T26" s="254">
        <f>5*480</f>
        <v>2400</v>
      </c>
      <c r="U26" s="254">
        <f>+T26*36/(1-70%)</f>
        <v>287999.99999999994</v>
      </c>
    </row>
    <row r="27" spans="2:21" ht="15.75" thickBot="1" x14ac:dyDescent="0.3">
      <c r="B27" s="251" t="str">
        <f t="shared" si="0"/>
        <v>Total</v>
      </c>
      <c r="C27" s="250">
        <f>+SUM(C17:C26)</f>
        <v>1</v>
      </c>
      <c r="E27" s="272" t="s">
        <v>189</v>
      </c>
      <c r="F27" s="254">
        <v>600</v>
      </c>
      <c r="G27" s="254"/>
      <c r="H27" s="253"/>
      <c r="I27" s="254"/>
      <c r="J27" s="254"/>
      <c r="S27" s="253" t="s">
        <v>526</v>
      </c>
      <c r="T27" s="254">
        <f>5*32</f>
        <v>160</v>
      </c>
      <c r="U27" s="254">
        <f>+T27*18</f>
        <v>2880</v>
      </c>
    </row>
    <row r="28" spans="2:21" x14ac:dyDescent="0.25">
      <c r="B28" s="271"/>
      <c r="C28" s="268"/>
      <c r="E28" s="253"/>
      <c r="F28" s="254"/>
      <c r="G28" s="254"/>
      <c r="H28" s="253"/>
      <c r="I28" s="254"/>
      <c r="J28" s="254"/>
      <c r="S28" s="253" t="s">
        <v>525</v>
      </c>
      <c r="T28" s="254">
        <f>70*16</f>
        <v>1120</v>
      </c>
      <c r="U28" s="254">
        <f>+T28*72</f>
        <v>80640</v>
      </c>
    </row>
    <row r="29" spans="2:21" x14ac:dyDescent="0.25">
      <c r="E29" s="265" t="s">
        <v>524</v>
      </c>
      <c r="F29" s="270">
        <f>+F30*90</f>
        <v>4500</v>
      </c>
      <c r="G29" s="254"/>
      <c r="H29" s="265" t="s">
        <v>465</v>
      </c>
      <c r="I29" s="270">
        <f>SUM(I30:I34)</f>
        <v>11160</v>
      </c>
      <c r="J29" s="254"/>
      <c r="K29" s="265" t="s">
        <v>464</v>
      </c>
      <c r="L29" s="270">
        <f>SUM(L30:L32)</f>
        <v>1530</v>
      </c>
      <c r="S29" s="253" t="s">
        <v>463</v>
      </c>
      <c r="T29" s="254">
        <f>70*1.92</f>
        <v>134.4</v>
      </c>
      <c r="U29" s="254">
        <f>+T29*18</f>
        <v>2419.2000000000003</v>
      </c>
    </row>
    <row r="30" spans="2:21" x14ac:dyDescent="0.25">
      <c r="E30" s="253" t="s">
        <v>523</v>
      </c>
      <c r="F30" s="254">
        <v>50</v>
      </c>
      <c r="G30" s="254"/>
      <c r="H30" s="253" t="s">
        <v>522</v>
      </c>
      <c r="I30" s="254">
        <f>100*72</f>
        <v>7200</v>
      </c>
      <c r="J30" s="254"/>
      <c r="K30" s="253" t="s">
        <v>521</v>
      </c>
      <c r="L30" s="254">
        <f>25*36</f>
        <v>900</v>
      </c>
      <c r="S30" s="258" t="s">
        <v>204</v>
      </c>
      <c r="T30" s="267"/>
      <c r="U30" s="256">
        <f>SUM(U26:U29)</f>
        <v>373939.19999999995</v>
      </c>
    </row>
    <row r="31" spans="2:21" x14ac:dyDescent="0.25">
      <c r="B31" s="260" t="s">
        <v>520</v>
      </c>
      <c r="C31" s="259"/>
      <c r="E31" s="253"/>
      <c r="F31" s="254"/>
      <c r="G31" s="254"/>
      <c r="H31" s="253" t="s">
        <v>519</v>
      </c>
      <c r="I31" s="254">
        <f>50*36</f>
        <v>1800</v>
      </c>
      <c r="J31" s="254"/>
      <c r="K31" s="253" t="s">
        <v>518</v>
      </c>
      <c r="L31" s="254">
        <f>20*9</f>
        <v>180</v>
      </c>
    </row>
    <row r="32" spans="2:21" x14ac:dyDescent="0.25">
      <c r="B32" s="249" t="s">
        <v>517</v>
      </c>
      <c r="C32" s="254">
        <f>+K6*72</f>
        <v>2520000</v>
      </c>
      <c r="E32" s="266"/>
      <c r="F32" s="254"/>
      <c r="G32" s="254"/>
      <c r="H32" s="253" t="s">
        <v>516</v>
      </c>
      <c r="I32" s="254">
        <f>30*18</f>
        <v>540</v>
      </c>
      <c r="J32" s="254"/>
      <c r="K32" s="253" t="s">
        <v>515</v>
      </c>
      <c r="L32" s="254">
        <f>5*90</f>
        <v>450</v>
      </c>
    </row>
    <row r="33" spans="2:22" x14ac:dyDescent="0.25">
      <c r="B33" s="249" t="s">
        <v>369</v>
      </c>
      <c r="C33" s="254">
        <f>+I5*36</f>
        <v>180000</v>
      </c>
      <c r="E33" s="253"/>
      <c r="F33" s="254"/>
      <c r="G33" s="254"/>
      <c r="H33" s="253" t="s">
        <v>451</v>
      </c>
      <c r="I33" s="254">
        <f>30*18</f>
        <v>540</v>
      </c>
      <c r="J33" s="254"/>
    </row>
    <row r="34" spans="2:22" x14ac:dyDescent="0.25">
      <c r="B34" s="249" t="s">
        <v>514</v>
      </c>
      <c r="C34" s="254">
        <f>+K21*2*9</f>
        <v>64800</v>
      </c>
      <c r="E34" s="253"/>
      <c r="F34" s="254"/>
      <c r="G34" s="254"/>
      <c r="H34" s="253" t="s">
        <v>513</v>
      </c>
      <c r="I34" s="254">
        <f>30*36</f>
        <v>1080</v>
      </c>
      <c r="J34" s="254"/>
      <c r="S34" s="265" t="s">
        <v>446</v>
      </c>
      <c r="T34" s="265" t="s">
        <v>445</v>
      </c>
      <c r="U34" s="265" t="s">
        <v>368</v>
      </c>
      <c r="V34" s="265" t="s">
        <v>444</v>
      </c>
    </row>
    <row r="35" spans="2:22" x14ac:dyDescent="0.25">
      <c r="B35" s="249" t="s">
        <v>441</v>
      </c>
      <c r="C35" s="254">
        <f>+(I9*2+F7)*18+(T27*18)</f>
        <v>373939.19999999995</v>
      </c>
      <c r="E35" s="253"/>
      <c r="F35" s="254"/>
      <c r="G35" s="254"/>
      <c r="H35" s="253"/>
      <c r="I35" s="254"/>
      <c r="J35" s="254"/>
      <c r="S35" s="264" t="s">
        <v>442</v>
      </c>
      <c r="T35" s="263">
        <f>SUM(T36:T36)</f>
        <v>4</v>
      </c>
      <c r="U35" s="262">
        <f>+V35/T35</f>
        <v>83.333333333333314</v>
      </c>
      <c r="V35" s="262">
        <f>SUM(V36:V36)</f>
        <v>333.33333333333326</v>
      </c>
    </row>
    <row r="36" spans="2:22" x14ac:dyDescent="0.25">
      <c r="B36" s="249" t="s">
        <v>439</v>
      </c>
      <c r="C36" s="254">
        <f>(+I8*0.3*36)+(I21*0.3*9)+F29</f>
        <v>35100</v>
      </c>
      <c r="E36" s="253"/>
      <c r="F36" s="254"/>
      <c r="G36" s="254"/>
      <c r="H36" s="253"/>
      <c r="I36" s="254"/>
      <c r="J36" s="254"/>
      <c r="S36" s="249" t="s">
        <v>440</v>
      </c>
      <c r="T36" s="255">
        <v>4</v>
      </c>
      <c r="U36" s="254">
        <v>25</v>
      </c>
      <c r="V36" s="254">
        <f>+(U36*T36)/(1-70%)</f>
        <v>333.33333333333326</v>
      </c>
    </row>
    <row r="37" spans="2:22" x14ac:dyDescent="0.25">
      <c r="B37" s="249" t="s">
        <v>142</v>
      </c>
      <c r="C37" s="254">
        <f>+I29</f>
        <v>11160</v>
      </c>
      <c r="E37" s="253"/>
      <c r="F37" s="254"/>
      <c r="G37" s="254"/>
      <c r="H37" s="253"/>
      <c r="I37" s="254"/>
      <c r="J37" s="254"/>
      <c r="S37" s="264" t="s">
        <v>429</v>
      </c>
      <c r="T37" s="263">
        <f>SUM(T38)</f>
        <v>8</v>
      </c>
      <c r="U37" s="262">
        <f>+V37/T37</f>
        <v>83.333333333333314</v>
      </c>
      <c r="V37" s="262">
        <f>SUM(V38)</f>
        <v>666.66666666666652</v>
      </c>
    </row>
    <row r="38" spans="2:22" x14ac:dyDescent="0.25">
      <c r="B38" s="249" t="s">
        <v>436</v>
      </c>
      <c r="C38" s="254">
        <f>+L29</f>
        <v>1530</v>
      </c>
      <c r="E38" s="253"/>
      <c r="F38" s="254"/>
      <c r="G38" s="254"/>
      <c r="H38" s="253"/>
      <c r="I38" s="254"/>
      <c r="J38" s="254"/>
      <c r="S38" s="249" t="s">
        <v>428</v>
      </c>
      <c r="T38" s="255">
        <v>8</v>
      </c>
      <c r="U38" s="254">
        <v>25</v>
      </c>
      <c r="V38" s="254">
        <f>+(U38*T38)/(1-70%)</f>
        <v>666.66666666666652</v>
      </c>
    </row>
    <row r="39" spans="2:22" x14ac:dyDescent="0.25">
      <c r="B39" s="249" t="s">
        <v>434</v>
      </c>
      <c r="C39" s="254">
        <f>+((F9+F10+F11+F12)*18)+(I7*36)+(I22*9)+((F21+F22+F23)*9)+C7+C10</f>
        <v>64610</v>
      </c>
      <c r="E39" s="253"/>
      <c r="F39" s="254"/>
      <c r="G39" s="254"/>
      <c r="H39" s="253"/>
      <c r="I39" s="254"/>
      <c r="J39" s="254"/>
      <c r="S39" s="264" t="s">
        <v>427</v>
      </c>
      <c r="T39" s="263">
        <f>SUM(T40)</f>
        <v>36</v>
      </c>
      <c r="U39" s="262">
        <f>+V39/T39</f>
        <v>99.999999999999986</v>
      </c>
      <c r="V39" s="262">
        <f>SUM(V40)</f>
        <v>3599.9999999999995</v>
      </c>
    </row>
    <row r="40" spans="2:22" x14ac:dyDescent="0.25">
      <c r="B40" s="249" t="s">
        <v>432</v>
      </c>
      <c r="C40" s="254">
        <f>+C8</f>
        <v>57600</v>
      </c>
      <c r="E40" s="253"/>
      <c r="F40" s="254"/>
      <c r="G40" s="254"/>
      <c r="H40" s="253"/>
      <c r="I40" s="254"/>
      <c r="J40" s="254"/>
      <c r="S40" s="249" t="s">
        <v>426</v>
      </c>
      <c r="T40" s="255">
        <v>36</v>
      </c>
      <c r="U40" s="254">
        <v>30</v>
      </c>
      <c r="V40" s="254">
        <f>+(U40*T40)/(1-70%)</f>
        <v>3599.9999999999995</v>
      </c>
    </row>
    <row r="41" spans="2:22" x14ac:dyDescent="0.25">
      <c r="B41" s="249" t="s">
        <v>189</v>
      </c>
      <c r="C41" s="254">
        <f>+C43-C42-SUM(C32:C40)</f>
        <v>633811.66666666651</v>
      </c>
      <c r="E41" s="253"/>
      <c r="F41" s="254"/>
      <c r="G41" s="254"/>
      <c r="H41" s="253"/>
      <c r="I41" s="254"/>
      <c r="J41" s="254"/>
      <c r="T41" s="255"/>
      <c r="U41" s="254"/>
      <c r="V41" s="254"/>
    </row>
    <row r="42" spans="2:22" x14ac:dyDescent="0.25">
      <c r="B42" s="249" t="s">
        <v>512</v>
      </c>
      <c r="C42" s="254">
        <v>52000</v>
      </c>
      <c r="E42" s="253"/>
      <c r="F42" s="254"/>
      <c r="G42" s="254"/>
      <c r="H42" s="253"/>
      <c r="I42" s="254"/>
      <c r="J42" s="254"/>
      <c r="S42" s="258" t="s">
        <v>204</v>
      </c>
      <c r="T42" s="257">
        <f>+SUM(T43:T45)</f>
        <v>288</v>
      </c>
      <c r="U42" s="256">
        <f>+V42/T42</f>
        <v>91.666666666666643</v>
      </c>
      <c r="V42" s="256">
        <f>+SUM(V43:V45)</f>
        <v>26399.999999999993</v>
      </c>
    </row>
    <row r="43" spans="2:22" ht="15.75" thickBot="1" x14ac:dyDescent="0.3">
      <c r="B43" s="251" t="s">
        <v>204</v>
      </c>
      <c r="C43" s="261">
        <f>+C14</f>
        <v>3994550.8666666667</v>
      </c>
      <c r="E43" s="253"/>
      <c r="F43" s="254"/>
      <c r="G43" s="254"/>
      <c r="H43" s="253"/>
      <c r="I43" s="254"/>
      <c r="J43" s="254"/>
      <c r="S43" s="249" t="s">
        <v>425</v>
      </c>
      <c r="T43" s="255">
        <f>+T35*18</f>
        <v>72</v>
      </c>
      <c r="U43" s="254">
        <f>+U35</f>
        <v>83.333333333333314</v>
      </c>
      <c r="V43" s="254">
        <f>+T43*U43</f>
        <v>5999.9999999999982</v>
      </c>
    </row>
    <row r="44" spans="2:22" x14ac:dyDescent="0.25">
      <c r="E44" s="253"/>
      <c r="F44" s="254"/>
      <c r="G44" s="254"/>
      <c r="H44" s="253"/>
      <c r="I44" s="254"/>
      <c r="J44" s="254"/>
      <c r="S44" s="249" t="s">
        <v>424</v>
      </c>
      <c r="T44" s="255">
        <f>+T37*9</f>
        <v>72</v>
      </c>
      <c r="U44" s="254">
        <f>+U37</f>
        <v>83.333333333333314</v>
      </c>
      <c r="V44" s="254">
        <f>+T44*U44</f>
        <v>5999.9999999999982</v>
      </c>
    </row>
    <row r="45" spans="2:22" x14ac:dyDescent="0.25">
      <c r="B45" s="260" t="str">
        <f t="shared" ref="B45:B57" si="2">+B31</f>
        <v>Simplied GB200 NVL72 BOM</v>
      </c>
      <c r="C45" s="259"/>
      <c r="E45" s="253"/>
      <c r="F45" s="254"/>
      <c r="G45" s="254"/>
      <c r="H45" s="253"/>
      <c r="I45" s="254"/>
      <c r="J45" s="254"/>
      <c r="S45" s="249" t="s">
        <v>423</v>
      </c>
      <c r="T45" s="255">
        <f>+T39*4</f>
        <v>144</v>
      </c>
      <c r="U45" s="254">
        <f>+U39</f>
        <v>99.999999999999986</v>
      </c>
      <c r="V45" s="254">
        <f>+T45*U45</f>
        <v>14399.999999999998</v>
      </c>
    </row>
    <row r="46" spans="2:22" x14ac:dyDescent="0.25">
      <c r="B46" s="253" t="str">
        <f t="shared" si="2"/>
        <v>Blackwell GPU</v>
      </c>
      <c r="C46" s="252">
        <f t="shared" ref="C46:C57" si="3">+C32/C$43</f>
        <v>0.63085940925890993</v>
      </c>
      <c r="E46" s="253"/>
      <c r="F46" s="254"/>
      <c r="G46" s="254"/>
      <c r="H46" s="253"/>
      <c r="I46" s="254"/>
      <c r="J46" s="254"/>
    </row>
    <row r="47" spans="2:22" x14ac:dyDescent="0.25">
      <c r="B47" s="253" t="str">
        <f t="shared" si="2"/>
        <v>Grace CPU</v>
      </c>
      <c r="C47" s="252">
        <f t="shared" si="3"/>
        <v>4.506138637563642E-2</v>
      </c>
      <c r="E47" s="253"/>
      <c r="F47" s="254"/>
      <c r="G47" s="254"/>
      <c r="H47" s="253"/>
      <c r="I47" s="254"/>
      <c r="J47" s="254"/>
    </row>
    <row r="48" spans="2:22" x14ac:dyDescent="0.25">
      <c r="B48" s="253" t="str">
        <f t="shared" si="2"/>
        <v>NVLink Switch chip</v>
      </c>
      <c r="C48" s="252">
        <f t="shared" si="3"/>
        <v>1.6222099095229113E-2</v>
      </c>
    </row>
    <row r="49" spans="2:3" x14ac:dyDescent="0.25">
      <c r="B49" s="253" t="str">
        <f t="shared" si="2"/>
        <v>Memory</v>
      </c>
      <c r="C49" s="252">
        <f t="shared" si="3"/>
        <v>9.3612326512202124E-2</v>
      </c>
    </row>
    <row r="50" spans="2:3" x14ac:dyDescent="0.25">
      <c r="B50" s="253" t="str">
        <f t="shared" si="2"/>
        <v>PCB</v>
      </c>
      <c r="C50" s="252">
        <f t="shared" si="3"/>
        <v>8.7869703432491026E-3</v>
      </c>
    </row>
    <row r="51" spans="2:3" x14ac:dyDescent="0.25">
      <c r="B51" s="253" t="str">
        <f t="shared" si="2"/>
        <v>ABF Substrate</v>
      </c>
      <c r="C51" s="252">
        <f t="shared" si="3"/>
        <v>2.7938059552894581E-3</v>
      </c>
    </row>
    <row r="52" spans="2:3" x14ac:dyDescent="0.25">
      <c r="B52" s="253" t="str">
        <f t="shared" si="2"/>
        <v>MLCC</v>
      </c>
      <c r="C52" s="252">
        <f t="shared" si="3"/>
        <v>3.830217841929096E-4</v>
      </c>
    </row>
    <row r="53" spans="2:3" x14ac:dyDescent="0.25">
      <c r="B53" s="253" t="str">
        <f t="shared" si="2"/>
        <v>Cooling</v>
      </c>
      <c r="C53" s="252">
        <f t="shared" si="3"/>
        <v>1.6174534298499275E-2</v>
      </c>
    </row>
    <row r="54" spans="2:3" x14ac:dyDescent="0.25">
      <c r="B54" s="253" t="str">
        <f t="shared" si="2"/>
        <v>Power supply</v>
      </c>
      <c r="C54" s="252">
        <f t="shared" si="3"/>
        <v>1.4419643640203655E-2</v>
      </c>
    </row>
    <row r="55" spans="2:3" x14ac:dyDescent="0.25">
      <c r="B55" s="253" t="str">
        <f t="shared" si="2"/>
        <v>Others</v>
      </c>
      <c r="C55" s="252">
        <f t="shared" si="3"/>
        <v>0.15866906889473745</v>
      </c>
    </row>
    <row r="56" spans="2:3" x14ac:dyDescent="0.25">
      <c r="B56" s="253" t="str">
        <f t="shared" si="2"/>
        <v>Markup</v>
      </c>
      <c r="C56" s="252">
        <f t="shared" si="3"/>
        <v>1.3017733841850522E-2</v>
      </c>
    </row>
    <row r="57" spans="2:3" ht="15.75" thickBot="1" x14ac:dyDescent="0.3">
      <c r="B57" s="251" t="str">
        <f t="shared" si="2"/>
        <v>Total</v>
      </c>
      <c r="C57" s="250">
        <f t="shared" si="3"/>
        <v>1</v>
      </c>
    </row>
  </sheetData>
  <pageMargins left="0.7" right="0.7" top="0.75" bottom="0.75" header="0.3" footer="0.3"/>
  <pageSetup paperSize="9" scale="9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BB4C-FD10-469D-9FC7-CD316AAB13D0}">
  <dimension ref="B2:V57"/>
  <sheetViews>
    <sheetView zoomScaleNormal="100" workbookViewId="0"/>
  </sheetViews>
  <sheetFormatPr defaultColWidth="8" defaultRowHeight="15" x14ac:dyDescent="0.25"/>
  <cols>
    <col min="1" max="1" width="3" style="249" customWidth="1"/>
    <col min="2" max="2" width="30" style="249" bestFit="1" customWidth="1"/>
    <col min="3" max="3" width="12" style="249" bestFit="1" customWidth="1"/>
    <col min="4" max="4" width="7.5703125" style="249" customWidth="1"/>
    <col min="5" max="5" width="34.42578125" style="249" bestFit="1" customWidth="1"/>
    <col min="6" max="6" width="10.85546875" style="249" bestFit="1" customWidth="1"/>
    <col min="7" max="7" width="7.5703125" style="249" customWidth="1"/>
    <col min="8" max="8" width="34.42578125" style="249" bestFit="1" customWidth="1"/>
    <col min="9" max="9" width="9.28515625" style="249" bestFit="1" customWidth="1"/>
    <col min="10" max="10" width="7.5703125" style="249" customWidth="1"/>
    <col min="11" max="11" width="42.28515625" style="249" bestFit="1" customWidth="1"/>
    <col min="12" max="12" width="8.7109375" style="249" customWidth="1"/>
    <col min="13" max="13" width="3.7109375" style="249" customWidth="1"/>
    <col min="14" max="15" width="8" style="249"/>
    <col min="16" max="16" width="8.7109375" style="249" bestFit="1" customWidth="1"/>
    <col min="17" max="18" width="8" style="249"/>
    <col min="19" max="19" width="41.28515625" style="249" bestFit="1" customWidth="1"/>
    <col min="20" max="20" width="9.7109375" style="249" bestFit="1" customWidth="1"/>
    <col min="21" max="21" width="10.85546875" style="249" bestFit="1" customWidth="1"/>
    <col min="22" max="22" width="10.7109375" style="249" bestFit="1" customWidth="1"/>
    <col min="23" max="16384" width="8" style="249"/>
  </cols>
  <sheetData>
    <row r="2" spans="2:21" ht="27" thickBot="1" x14ac:dyDescent="0.45">
      <c r="B2" s="269" t="s">
        <v>22</v>
      </c>
    </row>
    <row r="3" spans="2:21" x14ac:dyDescent="0.25">
      <c r="B3" s="260" t="s">
        <v>546</v>
      </c>
      <c r="C3" s="259"/>
      <c r="E3" s="265" t="s">
        <v>510</v>
      </c>
      <c r="F3" s="270">
        <f>SUM(F4:F15)</f>
        <v>169822</v>
      </c>
      <c r="O3" s="284"/>
      <c r="P3" s="283" t="s">
        <v>509</v>
      </c>
    </row>
    <row r="4" spans="2:21" x14ac:dyDescent="0.25">
      <c r="B4" s="253" t="s">
        <v>508</v>
      </c>
      <c r="C4" s="254">
        <f>+F3*18</f>
        <v>3056796</v>
      </c>
      <c r="D4" s="275"/>
      <c r="E4" s="272" t="s">
        <v>507</v>
      </c>
      <c r="F4" s="254">
        <f>+I4*2</f>
        <v>155273.33333333334</v>
      </c>
      <c r="G4" s="275"/>
      <c r="H4" s="265" t="s">
        <v>506</v>
      </c>
      <c r="I4" s="270">
        <f>+SUM(I5:I11)</f>
        <v>77636.666666666672</v>
      </c>
      <c r="J4" s="275"/>
      <c r="K4" s="275"/>
      <c r="L4" s="275"/>
      <c r="O4" s="282" t="s">
        <v>505</v>
      </c>
      <c r="P4" s="281">
        <v>41</v>
      </c>
    </row>
    <row r="5" spans="2:21" ht="15.75" thickBot="1" x14ac:dyDescent="0.3">
      <c r="B5" s="253" t="s">
        <v>504</v>
      </c>
      <c r="C5" s="254">
        <f>+F18*9</f>
        <v>126960</v>
      </c>
      <c r="D5" s="275"/>
      <c r="E5" s="272" t="s">
        <v>538</v>
      </c>
      <c r="F5" s="254">
        <v>5500</v>
      </c>
      <c r="G5" s="275"/>
      <c r="H5" s="253" t="s">
        <v>537</v>
      </c>
      <c r="I5" s="254">
        <v>5000</v>
      </c>
      <c r="J5" s="275"/>
      <c r="K5" s="265" t="s">
        <v>545</v>
      </c>
      <c r="L5" s="275"/>
      <c r="M5" s="275"/>
      <c r="O5" s="280" t="s">
        <v>500</v>
      </c>
      <c r="P5" s="279">
        <v>85</v>
      </c>
      <c r="S5" s="265" t="s">
        <v>499</v>
      </c>
      <c r="T5" s="265" t="s">
        <v>368</v>
      </c>
      <c r="U5" s="265" t="s">
        <v>444</v>
      </c>
    </row>
    <row r="6" spans="2:21" x14ac:dyDescent="0.25">
      <c r="B6" s="253" t="s">
        <v>498</v>
      </c>
      <c r="C6" s="254">
        <v>3000</v>
      </c>
      <c r="D6" s="275"/>
      <c r="E6" s="272" t="s">
        <v>544</v>
      </c>
      <c r="F6" s="254">
        <f>1750*2</f>
        <v>3500</v>
      </c>
      <c r="G6" s="275"/>
      <c r="H6" s="253" t="s">
        <v>543</v>
      </c>
      <c r="I6" s="254">
        <f>+K6*2</f>
        <v>60000</v>
      </c>
      <c r="J6" s="275"/>
      <c r="K6" s="254">
        <v>30000</v>
      </c>
      <c r="L6" s="275"/>
      <c r="M6" s="275"/>
      <c r="S6" s="249" t="s">
        <v>426</v>
      </c>
      <c r="T6" s="254">
        <v>30</v>
      </c>
      <c r="U6" s="254">
        <f>+T6*36</f>
        <v>1080</v>
      </c>
    </row>
    <row r="7" spans="2:21" x14ac:dyDescent="0.25">
      <c r="B7" s="253" t="s">
        <v>370</v>
      </c>
      <c r="C7" s="254">
        <v>13500</v>
      </c>
      <c r="D7" s="275"/>
      <c r="E7" s="272" t="s">
        <v>495</v>
      </c>
      <c r="F7" s="254">
        <f>+T29+(T28*4)</f>
        <v>1632</v>
      </c>
      <c r="G7" s="275"/>
      <c r="H7" s="253" t="s">
        <v>484</v>
      </c>
      <c r="I7" s="254">
        <f>250*3</f>
        <v>750</v>
      </c>
      <c r="J7" s="275"/>
      <c r="M7" s="275"/>
      <c r="O7" s="249" t="s">
        <v>283</v>
      </c>
      <c r="P7" s="249">
        <v>71</v>
      </c>
      <c r="S7" s="249" t="s">
        <v>494</v>
      </c>
      <c r="T7" s="254">
        <v>1250</v>
      </c>
      <c r="U7" s="254">
        <f>+T7*1</f>
        <v>1250</v>
      </c>
    </row>
    <row r="8" spans="2:21" x14ac:dyDescent="0.25">
      <c r="B8" s="253" t="s">
        <v>432</v>
      </c>
      <c r="C8" s="254">
        <v>36000</v>
      </c>
      <c r="D8" s="275"/>
      <c r="E8" s="272" t="s">
        <v>446</v>
      </c>
      <c r="F8" s="254">
        <f>+V35</f>
        <v>266.66666666666663</v>
      </c>
      <c r="G8" s="275"/>
      <c r="H8" s="253" t="s">
        <v>493</v>
      </c>
      <c r="I8" s="254">
        <f>650/0.3</f>
        <v>2166.666666666667</v>
      </c>
      <c r="J8" s="275"/>
      <c r="M8" s="275"/>
      <c r="O8" s="249" t="s">
        <v>363</v>
      </c>
      <c r="P8" s="249">
        <v>80</v>
      </c>
      <c r="S8" s="249" t="s">
        <v>492</v>
      </c>
      <c r="T8" s="254">
        <v>150</v>
      </c>
      <c r="U8" s="254">
        <f>+T8*1</f>
        <v>150</v>
      </c>
    </row>
    <row r="9" spans="2:21" x14ac:dyDescent="0.25">
      <c r="B9" s="253" t="s">
        <v>491</v>
      </c>
      <c r="C9" s="254">
        <f>1650*2</f>
        <v>3300</v>
      </c>
      <c r="D9" s="275"/>
      <c r="E9" s="272" t="s">
        <v>542</v>
      </c>
      <c r="F9" s="254">
        <f>25*4</f>
        <v>100</v>
      </c>
      <c r="G9" s="275"/>
      <c r="H9" s="249" t="s">
        <v>532</v>
      </c>
      <c r="I9" s="254">
        <f>+T26/(1-70%)</f>
        <v>5599.9999999999991</v>
      </c>
      <c r="J9" s="275"/>
      <c r="M9" s="275"/>
      <c r="S9" s="264" t="s">
        <v>204</v>
      </c>
      <c r="U9" s="262">
        <f>SUM(U6:U8)</f>
        <v>2480</v>
      </c>
    </row>
    <row r="10" spans="2:21" x14ac:dyDescent="0.25">
      <c r="B10" s="253" t="s">
        <v>489</v>
      </c>
      <c r="C10" s="254">
        <v>800</v>
      </c>
      <c r="D10" s="275"/>
      <c r="E10" s="272" t="s">
        <v>531</v>
      </c>
      <c r="F10" s="254">
        <f>8*25</f>
        <v>200</v>
      </c>
      <c r="G10" s="275"/>
      <c r="H10" s="249" t="s">
        <v>470</v>
      </c>
      <c r="I10" s="254">
        <v>1120</v>
      </c>
      <c r="J10" s="275"/>
      <c r="S10" s="249" t="s">
        <v>487</v>
      </c>
      <c r="U10" s="278">
        <v>0.7</v>
      </c>
    </row>
    <row r="11" spans="2:21" x14ac:dyDescent="0.25">
      <c r="B11" s="253" t="s">
        <v>483</v>
      </c>
      <c r="C11" s="254">
        <f>+U12</f>
        <v>33066.666666666664</v>
      </c>
      <c r="D11" s="275"/>
      <c r="E11" s="272" t="s">
        <v>541</v>
      </c>
      <c r="F11" s="254">
        <f>100*2</f>
        <v>200</v>
      </c>
      <c r="H11" s="253" t="s">
        <v>189</v>
      </c>
      <c r="I11" s="254">
        <v>3000</v>
      </c>
      <c r="S11" s="249" t="s">
        <v>485</v>
      </c>
      <c r="U11" s="262">
        <f>+U9/(1-U10)</f>
        <v>8266.6666666666661</v>
      </c>
    </row>
    <row r="12" spans="2:21" x14ac:dyDescent="0.25">
      <c r="B12" s="253" t="s">
        <v>189</v>
      </c>
      <c r="C12" s="254">
        <v>30500</v>
      </c>
      <c r="D12" s="275"/>
      <c r="E12" s="272" t="s">
        <v>479</v>
      </c>
      <c r="F12" s="254">
        <v>200</v>
      </c>
      <c r="G12" s="275"/>
      <c r="J12" s="275"/>
      <c r="S12" s="258" t="s">
        <v>483</v>
      </c>
      <c r="T12" s="267"/>
      <c r="U12" s="256">
        <f>+U11*4</f>
        <v>33066.666666666664</v>
      </c>
    </row>
    <row r="13" spans="2:21" x14ac:dyDescent="0.25">
      <c r="B13" s="274" t="s">
        <v>482</v>
      </c>
      <c r="C13" s="276">
        <v>25600</v>
      </c>
      <c r="D13" s="275"/>
      <c r="E13" s="272" t="s">
        <v>472</v>
      </c>
      <c r="F13" s="254">
        <v>50</v>
      </c>
      <c r="G13" s="275"/>
    </row>
    <row r="14" spans="2:21" ht="15.75" thickBot="1" x14ac:dyDescent="0.3">
      <c r="B14" s="251" t="s">
        <v>204</v>
      </c>
      <c r="C14" s="261">
        <f>+SUM(C4:C13)</f>
        <v>3329522.6666666665</v>
      </c>
      <c r="D14" s="275"/>
      <c r="E14" s="272" t="s">
        <v>470</v>
      </c>
      <c r="F14" s="254">
        <v>1600</v>
      </c>
      <c r="G14" s="275"/>
      <c r="H14" s="253"/>
      <c r="I14" s="254"/>
      <c r="J14" s="275"/>
      <c r="M14" s="275"/>
    </row>
    <row r="15" spans="2:21" x14ac:dyDescent="0.25">
      <c r="D15" s="275"/>
      <c r="E15" s="272" t="s">
        <v>189</v>
      </c>
      <c r="F15" s="254">
        <v>1300</v>
      </c>
      <c r="G15" s="275"/>
      <c r="H15" s="253"/>
      <c r="I15" s="254"/>
      <c r="J15" s="275"/>
    </row>
    <row r="16" spans="2:21" x14ac:dyDescent="0.25">
      <c r="B16" s="260" t="str">
        <f t="shared" ref="B16:B27" si="0">+B3</f>
        <v>GB200 NVL72 Bill of materials (US$)</v>
      </c>
      <c r="C16" s="259"/>
      <c r="D16" s="275"/>
      <c r="G16" s="275"/>
      <c r="H16" s="253"/>
      <c r="I16" s="254"/>
      <c r="J16" s="275"/>
    </row>
    <row r="17" spans="2:21" x14ac:dyDescent="0.25">
      <c r="B17" s="253" t="str">
        <f t="shared" si="0"/>
        <v>18x Compute Tray</v>
      </c>
      <c r="C17" s="252">
        <f t="shared" ref="C17:C26" si="1">+C4/C$14</f>
        <v>0.91808835861156479</v>
      </c>
      <c r="D17" s="275"/>
      <c r="G17" s="275"/>
      <c r="H17" s="253"/>
      <c r="I17" s="254"/>
      <c r="J17" s="275"/>
    </row>
    <row r="18" spans="2:21" x14ac:dyDescent="0.25">
      <c r="B18" s="253" t="str">
        <f t="shared" si="0"/>
        <v>9x Switch Tray</v>
      </c>
      <c r="C18" s="252">
        <f t="shared" si="1"/>
        <v>3.8131592036015571E-2</v>
      </c>
      <c r="D18" s="275"/>
      <c r="E18" s="265" t="s">
        <v>480</v>
      </c>
      <c r="F18" s="270">
        <f>SUM(F19:F25)</f>
        <v>14106.666666666666</v>
      </c>
      <c r="G18" s="275"/>
      <c r="M18" s="254"/>
    </row>
    <row r="19" spans="2:21" x14ac:dyDescent="0.25">
      <c r="B19" s="253" t="str">
        <f t="shared" si="0"/>
        <v>Rack Chassis</v>
      </c>
      <c r="C19" s="252">
        <f t="shared" si="1"/>
        <v>9.0103005756180465E-4</v>
      </c>
      <c r="E19" s="272" t="s">
        <v>150</v>
      </c>
      <c r="F19" s="254">
        <f>+I19</f>
        <v>11613.333333333332</v>
      </c>
      <c r="G19" s="275"/>
      <c r="H19" s="265" t="s">
        <v>150</v>
      </c>
      <c r="I19" s="270">
        <f>+SUM(I20:I24)</f>
        <v>11613.333333333332</v>
      </c>
      <c r="J19" s="275"/>
    </row>
    <row r="20" spans="2:21" x14ac:dyDescent="0.25">
      <c r="B20" s="253" t="str">
        <f t="shared" si="0"/>
        <v>Manifold (CDM)</v>
      </c>
      <c r="C20" s="252">
        <f t="shared" si="1"/>
        <v>4.054635259028121E-3</v>
      </c>
      <c r="E20" s="272" t="s">
        <v>479</v>
      </c>
      <c r="F20" s="254">
        <v>200</v>
      </c>
      <c r="H20" s="253" t="s">
        <v>530</v>
      </c>
      <c r="I20" s="254">
        <f>+K21*2</f>
        <v>7200</v>
      </c>
      <c r="K20" s="265" t="s">
        <v>475</v>
      </c>
    </row>
    <row r="21" spans="2:21" x14ac:dyDescent="0.25">
      <c r="B21" s="253" t="str">
        <f t="shared" si="0"/>
        <v>Power supply</v>
      </c>
      <c r="C21" s="252">
        <f t="shared" si="1"/>
        <v>1.0812360690741657E-2</v>
      </c>
      <c r="E21" s="272" t="s">
        <v>529</v>
      </c>
      <c r="F21" s="254">
        <f>150+60</f>
        <v>210</v>
      </c>
      <c r="H21" s="253" t="s">
        <v>476</v>
      </c>
      <c r="I21" s="254">
        <f>700/(1-70%)</f>
        <v>2333.333333333333</v>
      </c>
      <c r="K21" s="254">
        <v>3600</v>
      </c>
    </row>
    <row r="22" spans="2:21" x14ac:dyDescent="0.25">
      <c r="B22" s="253" t="str">
        <f t="shared" si="0"/>
        <v>Management switch</v>
      </c>
      <c r="C22" s="252">
        <f t="shared" si="1"/>
        <v>9.9113306331798513E-4</v>
      </c>
      <c r="D22" s="275"/>
      <c r="E22" s="272" t="s">
        <v>472</v>
      </c>
      <c r="F22" s="254">
        <v>50</v>
      </c>
      <c r="H22" s="253" t="s">
        <v>473</v>
      </c>
      <c r="I22" s="254">
        <f>200*2</f>
        <v>400</v>
      </c>
    </row>
    <row r="23" spans="2:21" x14ac:dyDescent="0.25">
      <c r="B23" s="253" t="str">
        <f t="shared" si="0"/>
        <v>Other cooling</v>
      </c>
      <c r="C23" s="252">
        <f t="shared" si="1"/>
        <v>2.4027468201648125E-4</v>
      </c>
      <c r="E23" s="272" t="s">
        <v>446</v>
      </c>
      <c r="F23" s="254">
        <f>+V37</f>
        <v>533.33333333333326</v>
      </c>
      <c r="G23" s="275"/>
      <c r="H23" s="249" t="s">
        <v>470</v>
      </c>
      <c r="I23" s="254">
        <v>275</v>
      </c>
      <c r="J23" s="275"/>
    </row>
    <row r="24" spans="2:21" x14ac:dyDescent="0.25">
      <c r="B24" s="253" t="str">
        <f t="shared" si="0"/>
        <v>4x Cable Cartridge</v>
      </c>
      <c r="C24" s="252">
        <f t="shared" si="1"/>
        <v>9.9313535233478915E-3</v>
      </c>
      <c r="E24" s="272" t="s">
        <v>470</v>
      </c>
      <c r="F24" s="254">
        <f>300/(1-70%)</f>
        <v>999.99999999999989</v>
      </c>
      <c r="H24" s="253" t="s">
        <v>189</v>
      </c>
      <c r="I24" s="254">
        <f>475+930</f>
        <v>1405</v>
      </c>
    </row>
    <row r="25" spans="2:21" x14ac:dyDescent="0.25">
      <c r="B25" s="253" t="str">
        <f t="shared" si="0"/>
        <v>Others</v>
      </c>
      <c r="C25" s="252">
        <f t="shared" si="1"/>
        <v>9.1604722518783474E-3</v>
      </c>
      <c r="E25" s="272" t="s">
        <v>189</v>
      </c>
      <c r="F25" s="254">
        <v>500</v>
      </c>
      <c r="H25" s="253"/>
      <c r="I25" s="254"/>
      <c r="S25" s="265" t="s">
        <v>471</v>
      </c>
      <c r="T25" s="265" t="s">
        <v>368</v>
      </c>
      <c r="U25" s="265" t="s">
        <v>444</v>
      </c>
    </row>
    <row r="26" spans="2:21" x14ac:dyDescent="0.25">
      <c r="B26" s="253" t="str">
        <f t="shared" si="0"/>
        <v>Rack assembly &amp; test</v>
      </c>
      <c r="C26" s="252">
        <f t="shared" si="1"/>
        <v>7.6887898245274E-3</v>
      </c>
      <c r="D26" s="254"/>
      <c r="E26" s="253"/>
      <c r="F26" s="254"/>
      <c r="G26" s="254"/>
      <c r="H26" s="253"/>
      <c r="I26" s="254"/>
      <c r="J26" s="254"/>
      <c r="S26" s="249" t="s">
        <v>527</v>
      </c>
      <c r="T26" s="254">
        <f>3.5*480</f>
        <v>1680</v>
      </c>
      <c r="U26" s="254">
        <f>+T26*36/(1-70%)</f>
        <v>201599.99999999997</v>
      </c>
    </row>
    <row r="27" spans="2:21" ht="15.75" thickBot="1" x14ac:dyDescent="0.3">
      <c r="B27" s="251" t="str">
        <f t="shared" si="0"/>
        <v>Total</v>
      </c>
      <c r="C27" s="250">
        <f>+SUM(C17:C26)</f>
        <v>1</v>
      </c>
      <c r="E27" s="265" t="s">
        <v>524</v>
      </c>
      <c r="F27" s="270">
        <f>+F28*90</f>
        <v>4500</v>
      </c>
      <c r="G27" s="254"/>
      <c r="H27" s="265" t="s">
        <v>465</v>
      </c>
      <c r="I27" s="270">
        <f>SUM(I28:I32)</f>
        <v>11160</v>
      </c>
      <c r="J27" s="254"/>
      <c r="K27" s="265" t="s">
        <v>464</v>
      </c>
      <c r="L27" s="270">
        <f>SUM(L28:L30)</f>
        <v>1710</v>
      </c>
      <c r="S27" s="253" t="s">
        <v>526</v>
      </c>
      <c r="T27" s="254">
        <f>3.5*32</f>
        <v>112</v>
      </c>
      <c r="U27" s="254">
        <f>+T27*18</f>
        <v>2016</v>
      </c>
    </row>
    <row r="28" spans="2:21" x14ac:dyDescent="0.25">
      <c r="B28" s="271"/>
      <c r="C28" s="268"/>
      <c r="E28" s="253" t="s">
        <v>523</v>
      </c>
      <c r="F28" s="254">
        <v>50</v>
      </c>
      <c r="G28" s="254"/>
      <c r="H28" s="253" t="s">
        <v>522</v>
      </c>
      <c r="I28" s="254">
        <f>100*72</f>
        <v>7200</v>
      </c>
      <c r="J28" s="254"/>
      <c r="K28" s="253" t="s">
        <v>540</v>
      </c>
      <c r="L28" s="254">
        <f>30*36</f>
        <v>1080</v>
      </c>
      <c r="S28" s="253" t="s">
        <v>525</v>
      </c>
      <c r="T28" s="254">
        <f>50*7.68</f>
        <v>384</v>
      </c>
      <c r="U28" s="254">
        <f>+T28*72</f>
        <v>27648</v>
      </c>
    </row>
    <row r="29" spans="2:21" ht="15" customHeight="1" x14ac:dyDescent="0.25">
      <c r="E29" s="253"/>
      <c r="F29" s="254"/>
      <c r="G29" s="254"/>
      <c r="H29" s="253" t="s">
        <v>519</v>
      </c>
      <c r="I29" s="254">
        <f>50*36</f>
        <v>1800</v>
      </c>
      <c r="J29" s="254"/>
      <c r="K29" s="253" t="s">
        <v>518</v>
      </c>
      <c r="L29" s="254">
        <f>20*9</f>
        <v>180</v>
      </c>
      <c r="S29" s="253" t="s">
        <v>463</v>
      </c>
      <c r="T29" s="254">
        <f>50*1.92</f>
        <v>96</v>
      </c>
      <c r="U29" s="254">
        <f>+T29*18</f>
        <v>1728</v>
      </c>
    </row>
    <row r="30" spans="2:21" x14ac:dyDescent="0.25">
      <c r="E30" s="253"/>
      <c r="F30" s="254"/>
      <c r="G30" s="254"/>
      <c r="H30" s="253" t="s">
        <v>516</v>
      </c>
      <c r="I30" s="254">
        <f>30*18</f>
        <v>540</v>
      </c>
      <c r="J30" s="254"/>
      <c r="K30" s="253" t="s">
        <v>515</v>
      </c>
      <c r="L30" s="254">
        <f>5*90</f>
        <v>450</v>
      </c>
      <c r="S30" s="258" t="s">
        <v>204</v>
      </c>
      <c r="T30" s="267"/>
      <c r="U30" s="256">
        <f>SUM(U26:U29)</f>
        <v>232991.99999999997</v>
      </c>
    </row>
    <row r="31" spans="2:21" x14ac:dyDescent="0.25">
      <c r="B31" s="260" t="s">
        <v>520</v>
      </c>
      <c r="C31" s="259"/>
      <c r="E31" s="253"/>
      <c r="F31" s="254"/>
      <c r="G31" s="254"/>
      <c r="H31" s="253" t="s">
        <v>451</v>
      </c>
      <c r="I31" s="254">
        <f>30*18</f>
        <v>540</v>
      </c>
      <c r="J31" s="254"/>
      <c r="K31" s="253"/>
      <c r="L31" s="254"/>
    </row>
    <row r="32" spans="2:21" x14ac:dyDescent="0.25">
      <c r="B32" s="249" t="s">
        <v>517</v>
      </c>
      <c r="C32" s="254">
        <f>+K6*72</f>
        <v>2160000</v>
      </c>
      <c r="E32" s="266"/>
      <c r="F32" s="254"/>
      <c r="G32" s="254"/>
      <c r="H32" s="253" t="s">
        <v>513</v>
      </c>
      <c r="I32" s="254">
        <f>30*36</f>
        <v>1080</v>
      </c>
      <c r="J32" s="254"/>
    </row>
    <row r="33" spans="2:22" x14ac:dyDescent="0.25">
      <c r="B33" s="249" t="s">
        <v>369</v>
      </c>
      <c r="C33" s="254">
        <f>+I5*36</f>
        <v>180000</v>
      </c>
      <c r="E33" s="266"/>
      <c r="F33" s="254"/>
      <c r="G33" s="254"/>
      <c r="H33" s="253"/>
      <c r="I33" s="254"/>
      <c r="J33" s="254"/>
    </row>
    <row r="34" spans="2:22" x14ac:dyDescent="0.25">
      <c r="B34" s="249" t="s">
        <v>514</v>
      </c>
      <c r="C34" s="254">
        <f>+K21*2*9</f>
        <v>64800</v>
      </c>
      <c r="E34" s="253"/>
      <c r="F34" s="254"/>
      <c r="G34" s="254"/>
      <c r="H34" s="253"/>
      <c r="I34" s="254"/>
      <c r="J34" s="254"/>
      <c r="S34" s="265" t="s">
        <v>446</v>
      </c>
      <c r="T34" s="265" t="s">
        <v>445</v>
      </c>
      <c r="U34" s="265" t="s">
        <v>368</v>
      </c>
      <c r="V34" s="265" t="s">
        <v>444</v>
      </c>
    </row>
    <row r="35" spans="2:22" x14ac:dyDescent="0.25">
      <c r="B35" s="249" t="s">
        <v>441</v>
      </c>
      <c r="C35" s="254">
        <f>+(I9*2+F7)*18+(T27*18)</f>
        <v>232991.99999999997</v>
      </c>
      <c r="D35" s="254"/>
      <c r="E35" s="266"/>
      <c r="F35" s="254"/>
      <c r="G35" s="254"/>
      <c r="H35" s="253"/>
      <c r="I35" s="254"/>
      <c r="J35" s="254"/>
      <c r="S35" s="264" t="s">
        <v>442</v>
      </c>
      <c r="T35" s="263">
        <f>SUM(T36:T36)</f>
        <v>4</v>
      </c>
      <c r="U35" s="262">
        <f>+V35/T35</f>
        <v>66.666666666666657</v>
      </c>
      <c r="V35" s="262">
        <f>SUM(V36:V36)</f>
        <v>266.66666666666663</v>
      </c>
    </row>
    <row r="36" spans="2:22" x14ac:dyDescent="0.25">
      <c r="B36" s="249" t="s">
        <v>439</v>
      </c>
      <c r="C36" s="254">
        <f>(+I8*0.3*36)+(I21*0.3*9)+F27</f>
        <v>34200</v>
      </c>
      <c r="E36" s="253"/>
      <c r="F36" s="254"/>
      <c r="G36" s="254"/>
      <c r="H36" s="253"/>
      <c r="I36" s="254"/>
      <c r="J36" s="254"/>
      <c r="S36" s="249" t="s">
        <v>440</v>
      </c>
      <c r="T36" s="255">
        <v>4</v>
      </c>
      <c r="U36" s="254">
        <v>20</v>
      </c>
      <c r="V36" s="254">
        <f>+(U36*T36)/(1-70%)</f>
        <v>266.66666666666663</v>
      </c>
    </row>
    <row r="37" spans="2:22" x14ac:dyDescent="0.25">
      <c r="B37" s="249" t="s">
        <v>142</v>
      </c>
      <c r="C37" s="254">
        <f>+I27</f>
        <v>11160</v>
      </c>
      <c r="E37" s="253"/>
      <c r="F37" s="254"/>
      <c r="G37" s="254"/>
      <c r="H37" s="253"/>
      <c r="I37" s="254"/>
      <c r="J37" s="254"/>
      <c r="S37" s="264" t="s">
        <v>429</v>
      </c>
      <c r="T37" s="263">
        <f>SUM(T38)</f>
        <v>8</v>
      </c>
      <c r="U37" s="262">
        <f>+V37/T37</f>
        <v>66.666666666666657</v>
      </c>
      <c r="V37" s="262">
        <f>SUM(V38)</f>
        <v>533.33333333333326</v>
      </c>
    </row>
    <row r="38" spans="2:22" x14ac:dyDescent="0.25">
      <c r="B38" s="249" t="s">
        <v>436</v>
      </c>
      <c r="C38" s="254">
        <f>+L27</f>
        <v>1710</v>
      </c>
      <c r="E38" s="253"/>
      <c r="F38" s="254"/>
      <c r="G38" s="254"/>
      <c r="H38" s="253"/>
      <c r="I38" s="254"/>
      <c r="J38" s="254"/>
      <c r="S38" s="249" t="s">
        <v>428</v>
      </c>
      <c r="T38" s="255">
        <v>8</v>
      </c>
      <c r="U38" s="254">
        <v>20</v>
      </c>
      <c r="V38" s="254">
        <f>+(U38*T38)/(1-70%)</f>
        <v>533.33333333333326</v>
      </c>
    </row>
    <row r="39" spans="2:22" x14ac:dyDescent="0.25">
      <c r="B39" s="249" t="s">
        <v>434</v>
      </c>
      <c r="C39" s="254">
        <f>+((F9+F10+F11)*18)+(I7*36)+(I22*9)+(F21*9)+C7+C10</f>
        <v>55790</v>
      </c>
      <c r="E39" s="253"/>
      <c r="F39" s="254"/>
      <c r="G39" s="254"/>
      <c r="H39" s="253"/>
      <c r="I39" s="254"/>
      <c r="J39" s="254"/>
      <c r="S39" s="264" t="s">
        <v>427</v>
      </c>
      <c r="T39" s="263">
        <f>SUM(T40)</f>
        <v>36</v>
      </c>
      <c r="U39" s="262">
        <f>+V39/T39</f>
        <v>99.999999999999986</v>
      </c>
      <c r="V39" s="262">
        <f>SUM(V40)</f>
        <v>3599.9999999999995</v>
      </c>
    </row>
    <row r="40" spans="2:22" x14ac:dyDescent="0.25">
      <c r="B40" s="249" t="s">
        <v>432</v>
      </c>
      <c r="C40" s="254">
        <f>+C8</f>
        <v>36000</v>
      </c>
      <c r="E40" s="253"/>
      <c r="F40" s="254"/>
      <c r="G40" s="254"/>
      <c r="H40" s="253"/>
      <c r="I40" s="254"/>
      <c r="J40" s="254"/>
      <c r="S40" s="249" t="s">
        <v>426</v>
      </c>
      <c r="T40" s="255">
        <v>36</v>
      </c>
      <c r="U40" s="254">
        <v>30</v>
      </c>
      <c r="V40" s="254">
        <f>+(U40*T40)/(1-70%)</f>
        <v>3599.9999999999995</v>
      </c>
    </row>
    <row r="41" spans="2:22" x14ac:dyDescent="0.25">
      <c r="B41" s="249" t="s">
        <v>189</v>
      </c>
      <c r="C41" s="254">
        <f>+C43-C42-SUM(C32:C40)</f>
        <v>500870.66666666651</v>
      </c>
      <c r="E41" s="253"/>
      <c r="F41" s="254"/>
      <c r="G41" s="254"/>
      <c r="H41" s="253"/>
      <c r="I41" s="254"/>
      <c r="J41" s="254"/>
      <c r="T41" s="255"/>
      <c r="U41" s="254"/>
      <c r="V41" s="254"/>
    </row>
    <row r="42" spans="2:22" x14ac:dyDescent="0.25">
      <c r="B42" s="249" t="s">
        <v>512</v>
      </c>
      <c r="C42" s="254">
        <v>52000</v>
      </c>
      <c r="E42" s="253"/>
      <c r="F42" s="254"/>
      <c r="G42" s="254"/>
      <c r="H42" s="253"/>
      <c r="I42" s="254"/>
      <c r="J42" s="254"/>
      <c r="S42" s="258" t="s">
        <v>204</v>
      </c>
      <c r="T42" s="257">
        <f>+SUM(T43:T45)</f>
        <v>288</v>
      </c>
      <c r="U42" s="256">
        <f>+V42/T42</f>
        <v>83.333333333333314</v>
      </c>
      <c r="V42" s="256">
        <f>+SUM(V43:V45)</f>
        <v>23999.999999999996</v>
      </c>
    </row>
    <row r="43" spans="2:22" ht="15.75" thickBot="1" x14ac:dyDescent="0.3">
      <c r="B43" s="251" t="s">
        <v>204</v>
      </c>
      <c r="C43" s="261">
        <f>+C14</f>
        <v>3329522.6666666665</v>
      </c>
      <c r="E43" s="253"/>
      <c r="F43" s="254"/>
      <c r="G43" s="254"/>
      <c r="H43" s="253"/>
      <c r="I43" s="254"/>
      <c r="J43" s="254"/>
      <c r="S43" s="249" t="s">
        <v>425</v>
      </c>
      <c r="T43" s="255">
        <f>+T35*18</f>
        <v>72</v>
      </c>
      <c r="U43" s="254">
        <f>+U35</f>
        <v>66.666666666666657</v>
      </c>
      <c r="V43" s="254">
        <f>+T43*U43</f>
        <v>4799.9999999999991</v>
      </c>
    </row>
    <row r="44" spans="2:22" x14ac:dyDescent="0.25">
      <c r="E44" s="253"/>
      <c r="F44" s="254"/>
      <c r="G44" s="254"/>
      <c r="H44" s="253"/>
      <c r="I44" s="254"/>
      <c r="J44" s="254"/>
      <c r="S44" s="249" t="s">
        <v>424</v>
      </c>
      <c r="T44" s="255">
        <f>+T37*9</f>
        <v>72</v>
      </c>
      <c r="U44" s="254">
        <f>+U37</f>
        <v>66.666666666666657</v>
      </c>
      <c r="V44" s="254">
        <f>+T44*U44</f>
        <v>4799.9999999999991</v>
      </c>
    </row>
    <row r="45" spans="2:22" x14ac:dyDescent="0.25">
      <c r="B45" s="260" t="str">
        <f t="shared" ref="B45:B57" si="2">+B31</f>
        <v>Simplied GB200 NVL72 BOM</v>
      </c>
      <c r="C45" s="259"/>
      <c r="E45" s="253"/>
      <c r="F45" s="254"/>
      <c r="G45" s="254"/>
      <c r="H45" s="253"/>
      <c r="I45" s="254"/>
      <c r="J45" s="254"/>
      <c r="S45" s="249" t="s">
        <v>423</v>
      </c>
      <c r="T45" s="255">
        <f>+T39*4</f>
        <v>144</v>
      </c>
      <c r="U45" s="254">
        <f>+U39</f>
        <v>99.999999999999986</v>
      </c>
      <c r="V45" s="254">
        <f>+T45*U45</f>
        <v>14399.999999999998</v>
      </c>
    </row>
    <row r="46" spans="2:22" x14ac:dyDescent="0.25">
      <c r="B46" s="253" t="str">
        <f t="shared" si="2"/>
        <v>Blackwell GPU</v>
      </c>
      <c r="C46" s="252">
        <f t="shared" ref="C46:C57" si="3">+C32/C$43</f>
        <v>0.64874164144449942</v>
      </c>
      <c r="E46" s="253"/>
      <c r="F46" s="254"/>
      <c r="G46" s="254"/>
      <c r="H46" s="253"/>
      <c r="I46" s="254"/>
      <c r="J46" s="254"/>
    </row>
    <row r="47" spans="2:22" x14ac:dyDescent="0.25">
      <c r="B47" s="253" t="str">
        <f t="shared" si="2"/>
        <v>Grace CPU</v>
      </c>
      <c r="C47" s="252">
        <f t="shared" si="3"/>
        <v>5.4061803453708285E-2</v>
      </c>
      <c r="E47" s="253"/>
      <c r="F47" s="254"/>
      <c r="G47" s="254"/>
      <c r="H47" s="253"/>
      <c r="I47" s="254"/>
      <c r="J47" s="254"/>
    </row>
    <row r="48" spans="2:22" x14ac:dyDescent="0.25">
      <c r="B48" s="253" t="str">
        <f t="shared" si="2"/>
        <v>NVLink Switch chip</v>
      </c>
      <c r="C48" s="252">
        <f t="shared" si="3"/>
        <v>1.9462249243334982E-2</v>
      </c>
    </row>
    <row r="49" spans="2:3" x14ac:dyDescent="0.25">
      <c r="B49" s="253" t="str">
        <f t="shared" si="2"/>
        <v>Memory</v>
      </c>
      <c r="C49" s="252">
        <f t="shared" si="3"/>
        <v>6.9977598390479998E-2</v>
      </c>
    </row>
    <row r="50" spans="2:3" x14ac:dyDescent="0.25">
      <c r="B50" s="253" t="str">
        <f t="shared" si="2"/>
        <v>PCB</v>
      </c>
      <c r="C50" s="252">
        <f t="shared" si="3"/>
        <v>1.0271742656204574E-2</v>
      </c>
    </row>
    <row r="51" spans="2:3" x14ac:dyDescent="0.25">
      <c r="B51" s="253" t="str">
        <f t="shared" si="2"/>
        <v>ABF Substrate</v>
      </c>
      <c r="C51" s="252">
        <f t="shared" si="3"/>
        <v>3.3518318141299137E-3</v>
      </c>
    </row>
    <row r="52" spans="2:3" x14ac:dyDescent="0.25">
      <c r="B52" s="253" t="str">
        <f t="shared" si="2"/>
        <v>MLCC</v>
      </c>
      <c r="C52" s="252">
        <f t="shared" si="3"/>
        <v>5.1358713281022866E-4</v>
      </c>
    </row>
    <row r="53" spans="2:3" x14ac:dyDescent="0.25">
      <c r="B53" s="253" t="str">
        <f t="shared" si="2"/>
        <v>Cooling</v>
      </c>
      <c r="C53" s="252">
        <f t="shared" si="3"/>
        <v>1.6756155637124362E-2</v>
      </c>
    </row>
    <row r="54" spans="2:3" x14ac:dyDescent="0.25">
      <c r="B54" s="253" t="str">
        <f t="shared" si="2"/>
        <v>Power supply</v>
      </c>
      <c r="C54" s="252">
        <f t="shared" si="3"/>
        <v>1.0812360690741657E-2</v>
      </c>
    </row>
    <row r="55" spans="2:3" x14ac:dyDescent="0.25">
      <c r="B55" s="253" t="str">
        <f t="shared" si="2"/>
        <v>Others</v>
      </c>
      <c r="C55" s="252">
        <f t="shared" si="3"/>
        <v>0.15043317520589533</v>
      </c>
    </row>
    <row r="56" spans="2:3" x14ac:dyDescent="0.25">
      <c r="B56" s="253" t="str">
        <f t="shared" si="2"/>
        <v>Markup</v>
      </c>
      <c r="C56" s="252">
        <f t="shared" si="3"/>
        <v>1.5617854331071282E-2</v>
      </c>
    </row>
    <row r="57" spans="2:3" ht="15.75" thickBot="1" x14ac:dyDescent="0.3">
      <c r="B57" s="251" t="str">
        <f t="shared" si="2"/>
        <v>Total</v>
      </c>
      <c r="C57" s="250">
        <f t="shared" si="3"/>
        <v>1</v>
      </c>
    </row>
  </sheetData>
  <pageMargins left="0.7" right="0.7" top="0.75" bottom="0.75" header="0.3" footer="0.3"/>
  <pageSetup paperSize="9" scale="9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Cover</vt:lpstr>
      <vt:lpstr>Nvidia Rack Layout</vt:lpstr>
      <vt:lpstr>GPU Roadmap</vt:lpstr>
      <vt:lpstr>ODM share analysis</vt:lpstr>
      <vt:lpstr>GB200-300 Tracker</vt:lpstr>
      <vt:lpstr>NVL72 BoM Comparison</vt:lpstr>
      <vt:lpstr>VR200 BoM </vt:lpstr>
      <vt:lpstr>GB300 BoM</vt:lpstr>
      <vt:lpstr>GB200 BoM</vt:lpstr>
      <vt:lpstr>Circ</vt:lpstr>
      <vt:lpstr>'GB200 BoM'!Linking_4</vt:lpstr>
      <vt:lpstr>'GB300 BoM'!Linking_4</vt:lpstr>
      <vt:lpstr>'VR200 BoM '!Linking_4</vt:lpstr>
      <vt:lpstr>'GB200 BoM'!Linking_5</vt:lpstr>
      <vt:lpstr>'GB300 BoM'!Linking_5</vt:lpstr>
      <vt:lpstr>'VR200 BoM '!Linking_5</vt:lpstr>
      <vt:lpstr>'GPU Roadmap'!Linking_Range_32</vt:lpstr>
      <vt:lpstr>'GPU Roadmap'!Linking_Range_33</vt:lpstr>
      <vt:lpstr>'GPU Roadmap'!Linking_Range_34</vt:lpstr>
      <vt:lpstr>'GPU Roadmap'!Linking_Range_35</vt:lpstr>
      <vt:lpstr>'GPU Roadmap'!Linking_Range_36</vt:lpstr>
      <vt:lpstr>'GPU Roadmap'!Linking_Range_43</vt:lpstr>
      <vt:lpstr>Scenario</vt:lpstr>
    </vt:vector>
  </TitlesOfParts>
  <Company>Morgan Stanley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 Irene (Research)</dc:creator>
  <cp:lastModifiedBy>Kao, Howard (Research)</cp:lastModifiedBy>
  <dcterms:created xsi:type="dcterms:W3CDTF">2026-03-08T08:23:12Z</dcterms:created>
  <dcterms:modified xsi:type="dcterms:W3CDTF">2026-05-21T07:55:40Z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f119e6-c6cd-44b0-a5ee-ac1aff68c56e_Enabled">
    <vt:lpwstr>true</vt:lpwstr>
  </property>
  <property fmtid="{D5CDD505-2E9C-101B-9397-08002B2CF9AE}" pid="3" name="MSIP_Label_07f119e6-c6cd-44b0-a5ee-ac1aff68c56e_SetDate">
    <vt:lpwstr>2026-03-10T00:06:20Z</vt:lpwstr>
  </property>
  <property fmtid="{D5CDD505-2E9C-101B-9397-08002B2CF9AE}" pid="4" name="MSIP_Label_07f119e6-c6cd-44b0-a5ee-ac1aff68c56e_Method">
    <vt:lpwstr>Standard</vt:lpwstr>
  </property>
  <property fmtid="{D5CDD505-2E9C-101B-9397-08002B2CF9AE}" pid="5" name="MSIP_Label_07f119e6-c6cd-44b0-a5ee-ac1aff68c56e_Name">
    <vt:lpwstr>Confidential v1</vt:lpwstr>
  </property>
  <property fmtid="{D5CDD505-2E9C-101B-9397-08002B2CF9AE}" pid="6" name="MSIP_Label_07f119e6-c6cd-44b0-a5ee-ac1aff68c56e_SiteId">
    <vt:lpwstr>e29b8111-49f8-418d-ac2a-935335a52614</vt:lpwstr>
  </property>
  <property fmtid="{D5CDD505-2E9C-101B-9397-08002B2CF9AE}" pid="7" name="MSIP_Label_07f119e6-c6cd-44b0-a5ee-ac1aff68c56e_ActionId">
    <vt:lpwstr>88838c68-93b2-4a42-b4e2-19ed567c822e</vt:lpwstr>
  </property>
  <property fmtid="{D5CDD505-2E9C-101B-9397-08002B2CF9AE}" pid="8" name="MSIP_Label_07f119e6-c6cd-44b0-a5ee-ac1aff68c56e_ContentBits">
    <vt:lpwstr>0</vt:lpwstr>
  </property>
  <property fmtid="{D5CDD505-2E9C-101B-9397-08002B2CF9AE}" pid="9" name="MSIP_Label_07f119e6-c6cd-44b0-a5ee-ac1aff68c56e_Tag">
    <vt:lpwstr>10, 3, 0, 1</vt:lpwstr>
  </property>
</Properties>
</file>